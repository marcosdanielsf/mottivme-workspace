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4 | Números Finais" sheetId="1" r:id="rId4"/>
    <sheet state="visible" name=" Meta" sheetId="2" r:id="rId5"/>
    <sheet state="visible" name="Motivo de Loss" sheetId="3" r:id="rId6"/>
  </sheets>
  <definedNames/>
  <calcPr/>
</workbook>
</file>

<file path=xl/sharedStrings.xml><?xml version="1.0" encoding="utf-8"?>
<sst xmlns="http://schemas.openxmlformats.org/spreadsheetml/2006/main" count="129" uniqueCount="74">
  <si>
    <t>TOTAL SDRS/BDRS - JANEIRO</t>
  </si>
  <si>
    <t>SDR 1 - Júlia</t>
  </si>
  <si>
    <t>SDR 2 - Guilherme</t>
  </si>
  <si>
    <t>Closer 3 - Victor Hugo</t>
  </si>
  <si>
    <t>Closer 4</t>
  </si>
  <si>
    <t>Anderson</t>
  </si>
  <si>
    <t>T contato pessoas únicas</t>
  </si>
  <si>
    <t xml:space="preserve"> &gt; % &gt;</t>
  </si>
  <si>
    <t>Respostas</t>
  </si>
  <si>
    <t>C.A.Q</t>
  </si>
  <si>
    <t>C.R.Q</t>
  </si>
  <si>
    <t>Faturamento</t>
  </si>
  <si>
    <t>FESF OU IESF</t>
  </si>
  <si>
    <t>EXPRESS</t>
  </si>
  <si>
    <t>M.S</t>
  </si>
  <si>
    <t>M.A</t>
  </si>
  <si>
    <t>M.M</t>
  </si>
  <si>
    <t>Cash coletecd</t>
  </si>
  <si>
    <t>valor Entrada</t>
  </si>
  <si>
    <t>Primeiro contato</t>
  </si>
  <si>
    <t>Contatos FU</t>
  </si>
  <si>
    <t>% Cash colectecd</t>
  </si>
  <si>
    <t>valor de entrada</t>
  </si>
  <si>
    <t>Call agendada</t>
  </si>
  <si>
    <t>Call realizada</t>
  </si>
  <si>
    <t>Call + Pitch</t>
  </si>
  <si>
    <t xml:space="preserve">Vendas </t>
  </si>
  <si>
    <t>Valor total</t>
  </si>
  <si>
    <t xml:space="preserve">Taxa de conversão </t>
  </si>
  <si>
    <t>SE agendada</t>
  </si>
  <si>
    <t>SE realizada</t>
  </si>
  <si>
    <t xml:space="preserve">SE +      pitch </t>
  </si>
  <si>
    <t xml:space="preserve">Valor </t>
  </si>
  <si>
    <t>Show Up</t>
  </si>
  <si>
    <t>Ticket médio</t>
  </si>
  <si>
    <t>valor 1º Parcela</t>
  </si>
  <si>
    <t xml:space="preserve">TOTAL </t>
  </si>
  <si>
    <t>Semana 5</t>
  </si>
  <si>
    <t>Semana 4</t>
  </si>
  <si>
    <t>Semana 3</t>
  </si>
  <si>
    <t>Semana 2</t>
  </si>
  <si>
    <t>Semana 1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</si>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</sst>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]#,##0"/>
    <numFmt numFmtId="166" formatCode="d/mmm"/>
    <numFmt numFmtId="167" formatCode="&quot;$&quot;#,##0"/>
  </numFmts>
  <fonts count="38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b/>
      <sz val="7.0"/>
      <color rgb="FFFFFFFF"/>
      <name val="Arial"/>
    </font>
    <font>
      <b/>
      <sz val="6.0"/>
      <color rgb="FF999999"/>
      <name val="Arial"/>
    </font>
    <font>
      <b/>
      <sz val="6.0"/>
      <color rgb="FFFFFFFF"/>
      <name val="Arial"/>
    </font>
    <font>
      <b/>
      <sz val="8.0"/>
      <color rgb="FFFFFFFF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7.0"/>
      <color rgb="FF000000"/>
      <name val="Arial"/>
    </font>
    <font>
      <b/>
      <sz val="6.0"/>
      <color rgb="FF000000"/>
      <name val="Arial"/>
    </font>
    <font>
      <b/>
      <sz val="8.0"/>
      <color rgb="FF000000"/>
      <name val="Arial"/>
    </font>
    <font>
      <b/>
      <sz val="5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color rgb="FF00FF00"/>
      <name val="Arial"/>
    </font>
    <font>
      <b/>
      <color rgb="FF000000"/>
      <name val="Arial"/>
    </font>
    <font>
      <sz val="8.0"/>
      <color theme="1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b/>
      <color rgb="FF000000"/>
      <name val="Arial"/>
      <scheme val="minor"/>
    </font>
    <font>
      <color rgb="FF00FF00"/>
      <name val="Arial"/>
    </font>
    <font>
      <color rgb="FF00FF00"/>
      <name val="Arial"/>
      <scheme val="minor"/>
    </font>
    <font>
      <b/>
      <sz val="11.0"/>
      <color rgb="FF000000"/>
      <name val="Arial"/>
    </font>
    <font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color rgb="FF000000"/>
      <name val="Arial"/>
      <scheme val="minor"/>
    </font>
    <font>
      <sz val="8.0"/>
      <color rgb="FF00FF00"/>
      <name val="Arial"/>
    </font>
    <font>
      <b/>
      <sz val="11.0"/>
      <color theme="1"/>
      <name val="Arial"/>
    </font>
    <font>
      <sz val="6.0"/>
      <color rgb="FF999999"/>
      <name val="Arial"/>
    </font>
    <font>
      <b/>
      <sz val="17.0"/>
      <color theme="1"/>
      <name val="Arial"/>
      <scheme val="minor"/>
    </font>
    <font>
      <b/>
      <sz val="13.0"/>
      <color rgb="FF0000FF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vertical="center"/>
    </xf>
    <xf borderId="3" fillId="6" fontId="4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2" fillId="7" fontId="4" numFmtId="0" xfId="0" applyAlignment="1" applyBorder="1" applyFill="1" applyFon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9" numFmtId="3" xfId="0" applyAlignment="1" applyBorder="1" applyFont="1" applyNumberFormat="1">
      <alignment horizontal="center" readingOrder="0" shrinkToFit="0" vertical="center" wrapText="1"/>
    </xf>
    <xf borderId="1" fillId="2" fontId="6" numFmtId="164" xfId="0" applyAlignment="1" applyBorder="1" applyFont="1" applyNumberFormat="1">
      <alignment horizontal="center" readingOrder="0" shrinkToFit="0" vertical="center" wrapText="1"/>
    </xf>
    <xf borderId="1" fillId="8" fontId="10" numFmtId="165" xfId="0" applyAlignment="1" applyBorder="1" applyFill="1" applyFont="1" applyNumberFormat="1">
      <alignment horizontal="center" shrinkToFit="0" wrapText="1"/>
    </xf>
    <xf borderId="4" fillId="8" fontId="10" numFmtId="165" xfId="0" applyAlignment="1" applyBorder="1" applyFont="1" applyNumberFormat="1">
      <alignment horizontal="center" shrinkToFit="0" wrapText="1"/>
    </xf>
    <xf borderId="4" fillId="8" fontId="11" numFmtId="165" xfId="0" applyAlignment="1" applyBorder="1" applyFont="1" applyNumberFormat="1">
      <alignment horizontal="center" shrinkToFit="0" wrapText="1"/>
    </xf>
    <xf borderId="2" fillId="2" fontId="8" numFmtId="0" xfId="0" applyAlignment="1" applyBorder="1" applyFont="1">
      <alignment horizontal="center" readingOrder="0" shrinkToFit="0" vertical="center" wrapText="1"/>
    </xf>
    <xf borderId="6" fillId="3" fontId="5" numFmtId="0" xfId="0" applyBorder="1" applyFont="1"/>
    <xf borderId="1" fillId="9" fontId="12" numFmtId="0" xfId="0" applyAlignment="1" applyBorder="1" applyFill="1" applyFont="1">
      <alignment horizontal="center" readingOrder="0" shrinkToFit="0" vertical="center" wrapText="1"/>
    </xf>
    <xf borderId="1" fillId="9" fontId="13" numFmtId="0" xfId="0" applyAlignment="1" applyBorder="1" applyFont="1">
      <alignment horizontal="center" readingOrder="0" shrinkToFit="0" vertical="center" wrapText="1"/>
    </xf>
    <xf borderId="1" fillId="9" fontId="14" numFmtId="0" xfId="0" applyAlignment="1" applyBorder="1" applyFont="1">
      <alignment horizontal="center" readingOrder="0" shrinkToFit="0" vertical="center" wrapText="1"/>
    </xf>
    <xf borderId="1" fillId="9" fontId="14" numFmtId="3" xfId="0" applyAlignment="1" applyBorder="1" applyFont="1" applyNumberFormat="1">
      <alignment horizontal="center" readingOrder="0" shrinkToFit="0" vertical="center" wrapText="1"/>
    </xf>
    <xf borderId="1" fillId="9" fontId="11" numFmtId="164" xfId="0" applyAlignment="1" applyBorder="1" applyFont="1" applyNumberFormat="1">
      <alignment horizontal="center" readingOrder="0" shrinkToFit="0" vertical="center" wrapText="1"/>
    </xf>
    <xf borderId="1" fillId="8" fontId="10" numFmtId="165" xfId="0" applyAlignment="1" applyBorder="1" applyFont="1" applyNumberFormat="1">
      <alignment horizontal="center" readingOrder="0" shrinkToFit="0" vertical="center" wrapText="1"/>
    </xf>
    <xf borderId="1" fillId="8" fontId="11" numFmtId="165" xfId="0" applyAlignment="1" applyBorder="1" applyFont="1" applyNumberFormat="1">
      <alignment horizontal="center" readingOrder="0" shrinkToFit="0" vertical="center" wrapText="1"/>
    </xf>
    <xf borderId="1" fillId="9" fontId="10" numFmtId="0" xfId="0" applyAlignment="1" applyBorder="1" applyFont="1">
      <alignment horizontal="center" readingOrder="0" shrinkToFit="0" vertical="center" wrapText="1"/>
    </xf>
    <xf borderId="4" fillId="9" fontId="11" numFmtId="0" xfId="0" applyAlignment="1" applyBorder="1" applyFont="1">
      <alignment horizontal="center" readingOrder="0" shrinkToFit="0" vertical="center" wrapText="1"/>
    </xf>
    <xf borderId="4" fillId="9" fontId="13" numFmtId="10" xfId="0" applyAlignment="1" applyBorder="1" applyFont="1" applyNumberForma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9" fontId="13" numFmtId="10" xfId="0" applyAlignment="1" applyBorder="1" applyFont="1" applyNumberFormat="1">
      <alignment horizontal="center" readingOrder="0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1" fillId="9" fontId="11" numFmtId="164" xfId="0" applyAlignment="1" applyBorder="1" applyFont="1" applyNumberFormat="1">
      <alignment horizontal="center" shrinkToFit="0" vertical="center" wrapText="1"/>
    </xf>
    <xf borderId="1" fillId="8" fontId="10" numFmtId="164" xfId="0" applyAlignment="1" applyBorder="1" applyFont="1" applyNumberFormat="1">
      <alignment horizontal="center" readingOrder="0" shrinkToFit="0" vertical="center" wrapText="1"/>
    </xf>
    <xf borderId="1" fillId="9" fontId="10" numFmtId="9" xfId="0" applyAlignment="1" applyBorder="1" applyFont="1" applyNumberForma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9" fontId="11" numFmtId="165" xfId="0" applyAlignment="1" applyBorder="1" applyFont="1" applyNumberFormat="1">
      <alignment horizontal="center" shrinkToFit="0" vertical="center" wrapText="1"/>
    </xf>
    <xf borderId="1" fillId="8" fontId="10" numFmtId="165" xfId="0" applyAlignment="1" applyBorder="1" applyFont="1" applyNumberFormat="1">
      <alignment horizontal="center" shrinkToFit="0" vertical="center" wrapText="1"/>
    </xf>
    <xf borderId="1" fillId="8" fontId="15" numFmtId="165" xfId="0" applyAlignment="1" applyBorder="1" applyFont="1" applyNumberFormat="1">
      <alignment horizontal="center" shrinkToFit="0" vertical="center" wrapText="1"/>
    </xf>
    <xf borderId="1" fillId="8" fontId="11" numFmtId="165" xfId="0" applyAlignment="1" applyBorder="1" applyFont="1" applyNumberForma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3" xfId="0" applyAlignment="1" applyBorder="1" applyFont="1" applyNumberFormat="1">
      <alignment horizontal="center" vertical="center"/>
    </xf>
    <xf borderId="1" fillId="2" fontId="7" numFmtId="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7" fillId="8" fontId="16" numFmtId="164" xfId="0" applyAlignment="1" applyBorder="1" applyFont="1" applyNumberFormat="1">
      <alignment horizontal="center"/>
    </xf>
    <xf borderId="8" fillId="8" fontId="16" numFmtId="164" xfId="0" applyAlignment="1" applyBorder="1" applyFont="1" applyNumberFormat="1">
      <alignment horizontal="center"/>
    </xf>
    <xf borderId="8" fillId="8" fontId="1" numFmtId="9" xfId="0" applyAlignment="1" applyBorder="1" applyFont="1" applyNumberFormat="1">
      <alignment horizontal="center"/>
    </xf>
    <xf borderId="8" fillId="8" fontId="17" numFmtId="165" xfId="0" applyAlignment="1" applyBorder="1" applyFont="1" applyNumberFormat="1">
      <alignment horizontal="center"/>
    </xf>
    <xf borderId="1" fillId="2" fontId="18" numFmtId="9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readingOrder="0" vertical="center"/>
    </xf>
    <xf borderId="1" fillId="9" fontId="13" numFmtId="10" xfId="0" applyAlignment="1" applyBorder="1" applyFont="1" applyNumberFormat="1">
      <alignment horizontal="center" readingOrder="0" vertical="center"/>
    </xf>
    <xf borderId="1" fillId="9" fontId="19" numFmtId="0" xfId="0" applyAlignment="1" applyBorder="1" applyFont="1">
      <alignment horizontal="center" readingOrder="0" vertical="center"/>
    </xf>
    <xf borderId="1" fillId="9" fontId="4" numFmtId="164" xfId="0" applyAlignment="1" applyBorder="1" applyFont="1" applyNumberFormat="1">
      <alignment horizontal="center" readingOrder="0" vertical="center"/>
    </xf>
    <xf borderId="1" fillId="8" fontId="20" numFmtId="165" xfId="0" applyAlignment="1" applyBorder="1" applyFont="1" applyNumberFormat="1">
      <alignment horizontal="center" vertical="center"/>
    </xf>
    <xf borderId="1" fillId="8" fontId="20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readingOrder="0" vertical="center"/>
    </xf>
    <xf borderId="1" fillId="9" fontId="19" numFmtId="9" xfId="0" applyAlignment="1" applyBorder="1" applyFont="1" applyNumberFormat="1">
      <alignment horizontal="center" readingOrder="0" vertical="center"/>
    </xf>
    <xf borderId="1" fillId="9" fontId="11" numFmtId="164" xfId="0" applyAlignment="1" applyBorder="1" applyFont="1" applyNumberFormat="1">
      <alignment horizontal="center" readingOrder="0" vertical="center"/>
    </xf>
    <xf borderId="1" fillId="9" fontId="4" numFmtId="3" xfId="0" applyAlignment="1" applyBorder="1" applyFont="1" applyNumberFormat="1">
      <alignment horizontal="center" readingOrder="0" vertical="center"/>
    </xf>
    <xf borderId="1" fillId="9" fontId="7" numFmtId="0" xfId="0" applyAlignment="1" applyBorder="1" applyFont="1">
      <alignment horizontal="center" readingOrder="0" vertical="center"/>
    </xf>
    <xf borderId="1" fillId="9" fontId="4" numFmtId="165" xfId="0" applyAlignment="1" applyBorder="1" applyFont="1" applyNumberFormat="1">
      <alignment horizontal="center" readingOrder="0" vertical="center"/>
    </xf>
    <xf borderId="1" fillId="8" fontId="1" numFmtId="9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2" fontId="18" numFmtId="0" xfId="0" applyAlignment="1" applyBorder="1" applyFont="1">
      <alignment horizontal="center" readingOrder="0" shrinkToFit="0" vertical="bottom" wrapText="1"/>
    </xf>
    <xf borderId="1" fillId="2" fontId="18" numFmtId="0" xfId="0" applyAlignment="1" applyBorder="1" applyFont="1">
      <alignment horizontal="center" vertical="center"/>
    </xf>
    <xf borderId="1" fillId="2" fontId="21" numFmtId="9" xfId="0" applyAlignment="1" applyBorder="1" applyFont="1" applyNumberFormat="1">
      <alignment horizontal="center" vertical="center"/>
    </xf>
    <xf borderId="1" fillId="2" fontId="18" numFmtId="3" xfId="0" applyAlignment="1" applyBorder="1" applyFont="1" applyNumberFormat="1">
      <alignment horizontal="center" vertical="center"/>
    </xf>
    <xf borderId="1" fillId="2" fontId="18" numFmtId="164" xfId="0" applyAlignment="1" applyBorder="1" applyFont="1" applyNumberFormat="1">
      <alignment horizontal="center" vertical="center"/>
    </xf>
    <xf borderId="7" fillId="2" fontId="22" numFmtId="164" xfId="0" applyAlignment="1" applyBorder="1" applyFont="1" applyNumberFormat="1">
      <alignment horizontal="center"/>
    </xf>
    <xf borderId="8" fillId="2" fontId="22" numFmtId="164" xfId="0" applyAlignment="1" applyBorder="1" applyFont="1" applyNumberFormat="1">
      <alignment horizontal="center"/>
    </xf>
    <xf borderId="8" fillId="2" fontId="1" numFmtId="9" xfId="0" applyBorder="1" applyFont="1" applyNumberFormat="1"/>
    <xf borderId="8" fillId="2" fontId="22" numFmtId="3" xfId="0" applyAlignment="1" applyBorder="1" applyFont="1" applyNumberFormat="1">
      <alignment horizontal="center"/>
    </xf>
    <xf borderId="6" fillId="3" fontId="23" numFmtId="0" xfId="0" applyAlignment="1" applyBorder="1" applyFont="1">
      <alignment readingOrder="0"/>
    </xf>
    <xf borderId="1" fillId="2" fontId="21" numFmtId="10" xfId="0" applyAlignment="1" applyBorder="1" applyFont="1" applyNumberFormat="1">
      <alignment horizontal="center" vertical="center"/>
    </xf>
    <xf borderId="1" fillId="2" fontId="22" numFmtId="164" xfId="0" applyAlignment="1" applyBorder="1" applyFont="1" applyNumberFormat="1">
      <alignment horizontal="center" vertical="center"/>
    </xf>
    <xf borderId="1" fillId="2" fontId="24" numFmtId="9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horizontal="center" vertical="center"/>
    </xf>
    <xf borderId="0" fillId="2" fontId="25" numFmtId="0" xfId="0" applyFont="1"/>
    <xf borderId="6" fillId="2" fontId="25" numFmtId="0" xfId="0" applyBorder="1" applyFont="1"/>
    <xf borderId="1" fillId="2" fontId="18" numFmtId="165" xfId="0" applyAlignment="1" applyBorder="1" applyFont="1" applyNumberFormat="1">
      <alignment horizontal="center" vertical="center"/>
    </xf>
    <xf borderId="1" fillId="10" fontId="26" numFmtId="166" xfId="0" applyAlignment="1" applyBorder="1" applyFill="1" applyFont="1" applyNumberFormat="1">
      <alignment horizontal="right" shrinkToFit="0" vertical="bottom" wrapText="1"/>
    </xf>
    <xf borderId="1" fillId="10" fontId="19" numFmtId="0" xfId="0" applyAlignment="1" applyBorder="1" applyFont="1">
      <alignment horizontal="center" vertical="center"/>
    </xf>
    <xf borderId="1" fillId="10" fontId="13" numFmtId="9" xfId="0" applyAlignment="1" applyBorder="1" applyFont="1" applyNumberFormat="1">
      <alignment horizontal="center" vertical="center"/>
    </xf>
    <xf borderId="1" fillId="10" fontId="19" numFmtId="9" xfId="0" applyAlignment="1" applyBorder="1" applyFont="1" applyNumberFormat="1">
      <alignment horizontal="center" vertical="center"/>
    </xf>
    <xf borderId="1" fillId="10" fontId="19" numFmtId="3" xfId="0" applyAlignment="1" applyBorder="1" applyFont="1" applyNumberFormat="1">
      <alignment horizontal="center" vertical="center"/>
    </xf>
    <xf borderId="1" fillId="10" fontId="19" numFmtId="164" xfId="0" applyAlignment="1" applyBorder="1" applyFont="1" applyNumberFormat="1">
      <alignment horizontal="center" readingOrder="0" vertical="center"/>
    </xf>
    <xf borderId="8" fillId="10" fontId="1" numFmtId="9" xfId="0" applyBorder="1" applyFont="1" applyNumberFormat="1"/>
    <xf borderId="8" fillId="2" fontId="22" numFmtId="165" xfId="0" applyAlignment="1" applyBorder="1" applyFont="1" applyNumberFormat="1">
      <alignment horizontal="center"/>
    </xf>
    <xf borderId="6" fillId="3" fontId="23" numFmtId="0" xfId="0" applyBorder="1" applyFont="1"/>
    <xf borderId="1" fillId="10" fontId="27" numFmtId="0" xfId="0" applyAlignment="1" applyBorder="1" applyFont="1">
      <alignment horizontal="center" readingOrder="0" vertical="center"/>
    </xf>
    <xf borderId="1" fillId="10" fontId="28" numFmtId="9" xfId="0" applyAlignment="1" applyBorder="1" applyFont="1" applyNumberFormat="1">
      <alignment horizontal="center" readingOrder="0" vertical="center"/>
    </xf>
    <xf borderId="1" fillId="10" fontId="28" numFmtId="10" xfId="0" applyAlignment="1" applyBorder="1" applyFont="1" applyNumberFormat="1">
      <alignment horizontal="center" readingOrder="0" vertical="center"/>
    </xf>
    <xf borderId="1" fillId="10" fontId="27" numFmtId="164" xfId="0" applyAlignment="1" applyBorder="1" applyFont="1" applyNumberFormat="1">
      <alignment horizontal="center" readingOrder="0" vertical="center"/>
    </xf>
    <xf borderId="1" fillId="10" fontId="29" numFmtId="164" xfId="0" applyAlignment="1" applyBorder="1" applyFont="1" applyNumberFormat="1">
      <alignment horizontal="center" vertical="center"/>
    </xf>
    <xf borderId="1" fillId="10" fontId="27" numFmtId="9" xfId="0" applyAlignment="1" applyBorder="1" applyFont="1" applyNumberFormat="1">
      <alignment horizontal="center" vertical="center"/>
    </xf>
    <xf borderId="1" fillId="10" fontId="27" numFmtId="165" xfId="0" applyAlignment="1" applyBorder="1" applyFont="1" applyNumberFormat="1">
      <alignment horizontal="center" vertical="center"/>
    </xf>
    <xf borderId="0" fillId="10" fontId="30" numFmtId="0" xfId="0" applyFont="1"/>
    <xf borderId="6" fillId="10" fontId="30" numFmtId="0" xfId="0" applyBorder="1" applyFont="1"/>
    <xf borderId="1" fillId="10" fontId="28" numFmtId="0" xfId="0" applyAlignment="1" applyBorder="1" applyFont="1">
      <alignment horizontal="center" readingOrder="0" vertical="center"/>
    </xf>
    <xf borderId="1" fillId="10" fontId="27" numFmtId="165" xfId="0" applyAlignment="1" applyBorder="1" applyFont="1" applyNumberFormat="1">
      <alignment horizontal="center" readingOrder="0" vertical="center"/>
    </xf>
    <xf borderId="1" fillId="10" fontId="19" numFmtId="164" xfId="0" applyAlignment="1" applyBorder="1" applyFont="1" applyNumberFormat="1">
      <alignment horizontal="center" vertical="center"/>
    </xf>
    <xf borderId="1" fillId="10" fontId="27" numFmtId="3" xfId="0" applyAlignment="1" applyBorder="1" applyFont="1" applyNumberFormat="1">
      <alignment horizontal="center" readingOrder="0" vertical="center"/>
    </xf>
    <xf borderId="1" fillId="10" fontId="28" numFmtId="3" xfId="0" applyAlignment="1" applyBorder="1" applyFont="1" applyNumberFormat="1">
      <alignment horizontal="center" readingOrder="0" vertical="center"/>
    </xf>
    <xf borderId="8" fillId="10" fontId="4" numFmtId="9" xfId="0" applyAlignment="1" applyBorder="1" applyFont="1" applyNumberFormat="1">
      <alignment horizontal="center"/>
    </xf>
    <xf borderId="1" fillId="10" fontId="29" numFmtId="164" xfId="0" applyAlignment="1" applyBorder="1" applyFont="1" applyNumberFormat="1">
      <alignment horizontal="center" readingOrder="0" vertical="center"/>
    </xf>
    <xf borderId="1" fillId="10" fontId="27" numFmtId="3" xfId="0" applyAlignment="1" applyBorder="1" applyFont="1" applyNumberFormat="1">
      <alignment horizontal="center" vertical="center"/>
    </xf>
    <xf borderId="1" fillId="10" fontId="28" numFmtId="9" xfId="0" applyAlignment="1" applyBorder="1" applyFont="1" applyNumberFormat="1">
      <alignment horizontal="center" vertical="center"/>
    </xf>
    <xf borderId="1" fillId="10" fontId="27" numFmtId="164" xfId="0" applyAlignment="1" applyBorder="1" applyFont="1" applyNumberFormat="1">
      <alignment horizontal="center" vertical="center"/>
    </xf>
    <xf borderId="1" fillId="10" fontId="27" numFmtId="0" xfId="0" applyAlignment="1" applyBorder="1" applyFont="1">
      <alignment horizontal="center" vertical="center"/>
    </xf>
    <xf borderId="8" fillId="10" fontId="1" numFmtId="9" xfId="0" applyAlignment="1" applyBorder="1" applyFont="1" applyNumberFormat="1">
      <alignment horizontal="center"/>
    </xf>
    <xf borderId="1" fillId="2" fontId="31" numFmtId="165" xfId="0" applyAlignment="1" applyBorder="1" applyFont="1" applyNumberFormat="1">
      <alignment horizontal="center" vertical="center"/>
    </xf>
    <xf borderId="1" fillId="8" fontId="32" numFmtId="166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horizontal="center" vertical="center"/>
    </xf>
    <xf borderId="1" fillId="8" fontId="33" numFmtId="9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8" fillId="8" fontId="1" numFmtId="9" xfId="0" applyBorder="1" applyFont="1" applyNumberFormat="1"/>
    <xf borderId="6" fillId="8" fontId="23" numFmtId="0" xfId="0" applyBorder="1" applyFont="1"/>
    <xf borderId="1" fillId="8" fontId="1" numFmtId="0" xfId="0" applyAlignment="1" applyBorder="1" applyFont="1">
      <alignment horizontal="center" readingOrder="0" vertical="center"/>
    </xf>
    <xf borderId="1" fillId="8" fontId="33" numFmtId="9" xfId="0" applyAlignment="1" applyBorder="1" applyFont="1" applyNumberFormat="1">
      <alignment horizontal="center" readingOrder="0" vertical="center"/>
    </xf>
    <xf borderId="1" fillId="8" fontId="33" numFmtId="10" xfId="0" applyAlignment="1" applyBorder="1" applyFont="1" applyNumberFormat="1">
      <alignment horizontal="center" readingOrder="0" vertical="center"/>
    </xf>
    <xf borderId="1" fillId="8" fontId="1" numFmtId="164" xfId="0" applyAlignment="1" applyBorder="1" applyFont="1" applyNumberFormat="1">
      <alignment horizontal="center" readingOrder="0" vertical="center"/>
    </xf>
    <xf borderId="1" fillId="8" fontId="20" numFmtId="164" xfId="0" applyAlignment="1" applyBorder="1" applyFont="1" applyNumberFormat="1">
      <alignment horizontal="center" vertical="center"/>
    </xf>
    <xf borderId="1" fillId="8" fontId="1" numFmtId="165" xfId="0" applyAlignment="1" applyBorder="1" applyFont="1" applyNumberFormat="1">
      <alignment horizontal="center" vertical="center"/>
    </xf>
    <xf borderId="0" fillId="8" fontId="5" numFmtId="0" xfId="0" applyFont="1"/>
    <xf borderId="1" fillId="8" fontId="4" numFmtId="164" xfId="0" applyAlignment="1" applyBorder="1" applyFont="1" applyNumberFormat="1">
      <alignment horizontal="center" readingOrder="0" vertical="center"/>
    </xf>
    <xf borderId="1" fillId="8" fontId="20" numFmtId="164" xfId="0" applyAlignment="1" applyBorder="1" applyFont="1" applyNumberFormat="1">
      <alignment horizontal="center" readingOrder="0" vertical="center"/>
    </xf>
    <xf borderId="6" fillId="8" fontId="5" numFmtId="0" xfId="0" applyBorder="1" applyFont="1"/>
    <xf borderId="1" fillId="8" fontId="33" numFmtId="0" xfId="0" applyAlignment="1" applyBorder="1" applyFont="1">
      <alignment horizontal="center" readingOrder="0" vertical="center"/>
    </xf>
    <xf borderId="1" fillId="8" fontId="1" numFmtId="165" xfId="0" applyAlignment="1" applyBorder="1" applyFont="1" applyNumberFormat="1">
      <alignment horizontal="center" readingOrder="0" vertical="center"/>
    </xf>
    <xf borderId="1" fillId="8" fontId="32" numFmtId="166" xfId="0" applyAlignment="1" applyBorder="1" applyFont="1" applyNumberFormat="1">
      <alignment horizontal="right" shrinkToFit="0" wrapText="1"/>
    </xf>
    <xf borderId="8" fillId="2" fontId="1" numFmtId="0" xfId="0" applyBorder="1" applyFont="1"/>
    <xf borderId="1" fillId="2" fontId="22" numFmtId="9" xfId="0" applyAlignment="1" applyBorder="1" applyFont="1" applyNumberFormat="1">
      <alignment horizontal="center" vertical="center"/>
    </xf>
    <xf borderId="1" fillId="2" fontId="22" numFmtId="165" xfId="0" applyAlignment="1" applyBorder="1" applyFont="1" applyNumberFormat="1">
      <alignment horizontal="center" vertical="center"/>
    </xf>
    <xf borderId="1" fillId="2" fontId="21" numFmtId="0" xfId="0" applyAlignment="1" applyBorder="1" applyFont="1">
      <alignment horizontal="center" vertical="center"/>
    </xf>
    <xf borderId="1" fillId="2" fontId="31" numFmtId="164" xfId="0" applyAlignment="1" applyBorder="1" applyFont="1" applyNumberFormat="1">
      <alignment horizontal="center" vertical="center"/>
    </xf>
    <xf borderId="1" fillId="8" fontId="20" numFmtId="165" xfId="0" applyAlignment="1" applyBorder="1" applyFont="1" applyNumberFormat="1">
      <alignment horizontal="center" readingOrder="0" vertical="center"/>
    </xf>
    <xf borderId="1" fillId="8" fontId="1" numFmtId="3" xfId="0" applyAlignment="1" applyBorder="1" applyFont="1" applyNumberFormat="1">
      <alignment horizontal="center" readingOrder="0" vertical="center"/>
    </xf>
    <xf borderId="1" fillId="8" fontId="1" numFmtId="9" xfId="0" applyAlignment="1" applyBorder="1" applyFont="1" applyNumberFormat="1">
      <alignment horizontal="center" readingOrder="0" vertical="center"/>
    </xf>
    <xf borderId="7" fillId="8" fontId="1" numFmtId="9" xfId="0" applyAlignment="1" applyBorder="1" applyFont="1" applyNumberFormat="1">
      <alignment horizontal="center"/>
    </xf>
    <xf borderId="1" fillId="8" fontId="32" numFmtId="166" xfId="0" applyAlignment="1" applyBorder="1" applyFont="1" applyNumberFormat="1">
      <alignment horizontal="right" readingOrder="0" shrinkToFit="0" vertical="bottom" wrapText="1"/>
    </xf>
    <xf borderId="9" fillId="3" fontId="1" numFmtId="0" xfId="0" applyAlignment="1" applyBorder="1" applyFont="1">
      <alignment vertical="bottom"/>
    </xf>
    <xf borderId="10" fillId="0" fontId="5" numFmtId="0" xfId="0" applyBorder="1" applyFont="1"/>
    <xf borderId="9" fillId="0" fontId="3" numFmtId="0" xfId="0" applyBorder="1" applyFont="1"/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1" fillId="13" fontId="4" numFmtId="0" xfId="0" applyAlignment="1" applyBorder="1" applyFill="1" applyFont="1">
      <alignment horizontal="center" vertical="bottom"/>
    </xf>
    <xf borderId="12" fillId="8" fontId="1" numFmtId="0" xfId="0" applyAlignment="1" applyBorder="1" applyFont="1">
      <alignment horizontal="right" textRotation="90" vertical="center"/>
    </xf>
    <xf borderId="13" fillId="8" fontId="1" numFmtId="0" xfId="0" applyAlignment="1" applyBorder="1" applyFont="1">
      <alignment horizontal="right" vertical="bottom"/>
    </xf>
    <xf borderId="13" fillId="14" fontId="1" numFmtId="9" xfId="0" applyAlignment="1" applyBorder="1" applyFill="1" applyFont="1" applyNumberFormat="1">
      <alignment horizontal="right" readingOrder="0" vertical="bottom"/>
    </xf>
    <xf borderId="13" fillId="8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3" fillId="8" fontId="1" numFmtId="0" xfId="0" applyAlignment="1" applyBorder="1" applyFont="1">
      <alignment horizontal="right" readingOrder="0" vertical="bottom"/>
    </xf>
    <xf borderId="10" fillId="8" fontId="4" numFmtId="0" xfId="0" applyAlignment="1" applyBorder="1" applyFont="1">
      <alignment horizontal="right" readingOrder="0" vertical="bottom"/>
    </xf>
    <xf borderId="13" fillId="0" fontId="3" numFmtId="0" xfId="0" applyBorder="1" applyFont="1"/>
    <xf borderId="13" fillId="14" fontId="1" numFmtId="1" xfId="0" applyAlignment="1" applyBorder="1" applyFont="1" applyNumberFormat="1">
      <alignment horizontal="center" readingOrder="0" vertical="bottom"/>
    </xf>
    <xf borderId="10" fillId="8" fontId="4" numFmtId="0" xfId="0" applyAlignment="1" applyBorder="1" applyFont="1">
      <alignment horizontal="right" vertical="bottom"/>
    </xf>
    <xf borderId="13" fillId="14" fontId="1" numFmtId="167" xfId="0" applyAlignment="1" applyBorder="1" applyFont="1" applyNumberFormat="1">
      <alignment horizontal="center" readingOrder="0" vertical="bottom"/>
    </xf>
    <xf borderId="14" fillId="0" fontId="3" numFmtId="0" xfId="0" applyBorder="1" applyFont="1"/>
    <xf borderId="13" fillId="11" fontId="4" numFmtId="167" xfId="0" applyAlignment="1" applyBorder="1" applyFont="1" applyNumberFormat="1">
      <alignment horizontal="center" vertical="bottom"/>
    </xf>
    <xf borderId="13" fillId="12" fontId="4" numFmtId="167" xfId="0" applyAlignment="1" applyBorder="1" applyFont="1" applyNumberFormat="1">
      <alignment horizontal="center" vertical="bottom"/>
    </xf>
    <xf borderId="13" fillId="13" fontId="4" numFmtId="167" xfId="0" applyAlignment="1" applyBorder="1" applyFont="1" applyNumberFormat="1">
      <alignment horizontal="center" vertical="bottom"/>
    </xf>
    <xf borderId="15" fillId="15" fontId="34" numFmtId="0" xfId="0" applyAlignment="1" applyBorder="1" applyFill="1" applyFont="1">
      <alignment horizontal="center" readingOrder="0"/>
    </xf>
    <xf borderId="16" fillId="0" fontId="3" numFmtId="0" xfId="0" applyBorder="1" applyFont="1"/>
    <xf borderId="17" fillId="0" fontId="3" numFmtId="0" xfId="0" applyBorder="1" applyFont="1"/>
    <xf borderId="18" fillId="9" fontId="35" numFmtId="0" xfId="0" applyAlignment="1" applyBorder="1" applyFont="1">
      <alignment horizontal="center" readingOrder="0"/>
    </xf>
    <xf borderId="19" fillId="0" fontId="3" numFmtId="0" xfId="0" applyBorder="1" applyFont="1"/>
    <xf borderId="20" fillId="0" fontId="36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left" readingOrder="0"/>
    </xf>
    <xf borderId="21" fillId="9" fontId="5" numFmtId="0" xfId="0" applyAlignment="1" applyBorder="1" applyFont="1">
      <alignment horizontal="center" readingOrder="0"/>
    </xf>
    <xf borderId="20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1" fillId="9" fontId="5" numFmtId="9" xfId="0" applyBorder="1" applyFont="1" applyNumberFormat="1"/>
    <xf borderId="22" fillId="0" fontId="37" numFmtId="0" xfId="0" applyAlignment="1" applyBorder="1" applyFont="1">
      <alignment horizontal="right" readingOrder="0"/>
    </xf>
    <xf borderId="23" fillId="0" fontId="37" numFmtId="0" xfId="0" applyAlignment="1" applyBorder="1" applyFont="1">
      <alignment horizontal="center"/>
    </xf>
    <xf borderId="24" fillId="9" fontId="37" numFmtId="9" xfId="0" applyAlignment="1" applyBorder="1" applyFont="1" applyNumberFormat="1">
      <alignment horizontal="center"/>
    </xf>
    <xf borderId="25" fillId="9" fontId="35" numFmtId="0" xfId="0" applyAlignment="1" applyBorder="1" applyFont="1">
      <alignment horizontal="center" readingOrder="0"/>
    </xf>
    <xf borderId="26" fillId="0" fontId="3" numFmtId="0" xfId="0" applyBorder="1" applyFont="1"/>
    <xf borderId="27" fillId="0" fontId="3" numFmtId="0" xfId="0" applyBorder="1" applyFont="1"/>
    <xf borderId="23" fillId="0" fontId="5" numFmtId="0" xfId="0" applyAlignment="1" applyBorder="1" applyFont="1">
      <alignment horizontal="center"/>
    </xf>
    <xf borderId="24" fillId="9" fontId="5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8.0" ySplit="3.0" topLeftCell="S4" activePane="bottomRight" state="frozen"/>
      <selection activeCell="S1" sqref="S1" pane="topRight"/>
      <selection activeCell="A4" sqref="A4" pane="bottomLeft"/>
      <selection activeCell="S4" sqref="S4" pane="bottomRight"/>
    </sheetView>
  </sheetViews>
  <sheetFormatPr customHeight="1" defaultColWidth="12.63" defaultRowHeight="15.75" outlineLevelCol="2" outlineLevelRow="1"/>
  <cols>
    <col customWidth="1" min="1" max="1" width="10.5"/>
    <col customWidth="1" min="2" max="2" width="6.38"/>
    <col customWidth="1" min="3" max="3" width="5.25" outlineLevel="1"/>
    <col customWidth="1" min="4" max="4" width="6.38"/>
    <col customWidth="1" min="5" max="5" width="3.88"/>
    <col customWidth="1" min="6" max="6" width="6.38"/>
    <col customWidth="1" min="7" max="7" width="3.88"/>
    <col customWidth="1" min="8" max="8" width="6.38"/>
    <col collapsed="1" customWidth="1" min="9" max="9" width="9.63"/>
    <col customWidth="1" hidden="1" min="10" max="16" width="6.38" outlineLevel="1"/>
    <col customWidth="1" min="17" max="17" width="6.38"/>
    <col customWidth="1" min="18" max="18" width="2.63"/>
    <col customWidth="1" min="19" max="20" width="6.5" outlineLevel="1"/>
    <col customWidth="1" min="21" max="21" width="4.38" outlineLevel="1"/>
    <col customWidth="1" min="22" max="22" width="6.5" outlineLevel="1"/>
    <col customWidth="1" min="23" max="23" width="4.38" outlineLevel="1"/>
    <col customWidth="1" min="24" max="24" width="6.5" outlineLevel="1"/>
    <col customWidth="1" min="25" max="25" width="4.38" outlineLevel="1"/>
    <col customWidth="1" min="26" max="26" width="6.5" outlineLevel="1"/>
    <col customWidth="1" min="27" max="27" width="9.75" outlineLevel="1"/>
    <col customWidth="1" min="28" max="34" width="6.5" outlineLevel="2"/>
    <col customWidth="1" min="35" max="35" width="6.5" outlineLevel="1"/>
    <col collapsed="1" customWidth="1" min="36" max="36" width="2.38"/>
    <col customWidth="1" hidden="1" min="37" max="39" width="6.5" outlineLevel="1"/>
    <col customWidth="1" hidden="1" min="40" max="40" width="6.75" outlineLevel="1"/>
    <col customWidth="1" hidden="1" min="41" max="41" width="6.5" outlineLevel="1"/>
    <col customWidth="1" hidden="1" min="42" max="42" width="4.38" outlineLevel="1"/>
    <col customWidth="1" hidden="1" min="43" max="43" width="6.5" outlineLevel="1"/>
    <col collapsed="1" customWidth="1" hidden="1" min="44" max="44" width="8.88" outlineLevel="1"/>
    <col customWidth="1" hidden="1" min="45" max="51" width="6.5" outlineLevel="2"/>
    <col customWidth="1" hidden="1" min="52" max="52" width="6.5" outlineLevel="1"/>
    <col collapsed="1" customWidth="1" min="53" max="53" width="2.38"/>
    <col customWidth="1" hidden="1" min="54" max="54" width="6.5" outlineLevel="1"/>
    <col customWidth="1" hidden="1" min="55" max="55" width="3.88" outlineLevel="1"/>
    <col customWidth="1" hidden="1" min="56" max="56" width="6.5" outlineLevel="1"/>
    <col customWidth="1" hidden="1" min="57" max="57" width="5.0" outlineLevel="1"/>
    <col customWidth="1" hidden="1" min="58" max="58" width="6.5" outlineLevel="1"/>
    <col customWidth="1" hidden="1" min="59" max="59" width="3.88" outlineLevel="1"/>
    <col customWidth="1" hidden="1" min="60" max="60" width="6.5" outlineLevel="1"/>
    <col collapsed="1" customWidth="1" hidden="1" min="61" max="61" width="9.75" outlineLevel="1"/>
    <col customWidth="1" hidden="1" min="62" max="68" width="6.5" outlineLevel="2"/>
    <col customWidth="1" hidden="1" min="69" max="69" width="6.5" outlineLevel="1"/>
    <col collapsed="1" customWidth="1" min="70" max="70" width="2.38"/>
    <col customWidth="1" hidden="1" min="71" max="77" width="6.5" outlineLevel="1"/>
    <col collapsed="1" customWidth="1" hidden="1" min="78" max="78" width="9.75" outlineLevel="1"/>
    <col customWidth="1" hidden="1" min="79" max="81" width="6.5" outlineLevel="2"/>
    <col customWidth="1" hidden="1" min="82" max="82" width="11.63" outlineLevel="2"/>
    <col customWidth="1" hidden="1" min="83" max="83" width="6.5" outlineLevel="1"/>
    <col collapsed="1" customWidth="1" min="84" max="84" width="2.38"/>
    <col customWidth="1" hidden="1" min="85" max="88" width="6.5" outlineLevel="1"/>
    <col collapsed="1" customWidth="1" hidden="1" min="89" max="89" width="9.75" outlineLevel="1"/>
    <col customWidth="1" hidden="1" min="90" max="93" width="6.5" outlineLevel="2"/>
    <col customWidth="1" hidden="1" min="94" max="94" width="6.5" outlineLevel="1"/>
    <col customWidth="1" min="95" max="95" width="2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6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K1" s="7" t="s">
        <v>2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B1" s="8" t="s">
        <v>3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9"/>
      <c r="BS1" s="10" t="s">
        <v>4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  <c r="CF1" s="9"/>
      <c r="CG1" s="11" t="s">
        <v>5</v>
      </c>
      <c r="CH1" s="3"/>
      <c r="CI1" s="3"/>
      <c r="CJ1" s="3"/>
      <c r="CK1" s="3"/>
      <c r="CL1" s="3"/>
      <c r="CM1" s="3"/>
      <c r="CN1" s="3"/>
      <c r="CO1" s="3"/>
      <c r="CP1" s="4"/>
      <c r="CQ1" s="9"/>
    </row>
    <row r="2">
      <c r="A2" s="12"/>
      <c r="B2" s="13" t="s">
        <v>6</v>
      </c>
      <c r="C2" s="14" t="s">
        <v>7</v>
      </c>
      <c r="D2" s="15" t="s">
        <v>8</v>
      </c>
      <c r="E2" s="14" t="s">
        <v>7</v>
      </c>
      <c r="F2" s="16" t="s">
        <v>9</v>
      </c>
      <c r="G2" s="14" t="s">
        <v>7</v>
      </c>
      <c r="H2" s="17" t="s">
        <v>10</v>
      </c>
      <c r="I2" s="18" t="s">
        <v>11</v>
      </c>
      <c r="J2" s="19" t="s">
        <v>12</v>
      </c>
      <c r="K2" s="20" t="s">
        <v>13</v>
      </c>
      <c r="L2" s="20" t="s">
        <v>14</v>
      </c>
      <c r="M2" s="20" t="s">
        <v>15</v>
      </c>
      <c r="N2" s="20" t="s">
        <v>16</v>
      </c>
      <c r="O2" s="20" t="s">
        <v>17</v>
      </c>
      <c r="P2" s="21" t="s">
        <v>18</v>
      </c>
      <c r="Q2" s="22"/>
      <c r="R2" s="23"/>
      <c r="S2" s="24" t="s">
        <v>19</v>
      </c>
      <c r="T2" s="24" t="s">
        <v>20</v>
      </c>
      <c r="U2" s="25" t="s">
        <v>7</v>
      </c>
      <c r="V2" s="25" t="s">
        <v>8</v>
      </c>
      <c r="W2" s="25" t="s">
        <v>7</v>
      </c>
      <c r="X2" s="26" t="s">
        <v>9</v>
      </c>
      <c r="Y2" s="25" t="s">
        <v>7</v>
      </c>
      <c r="Z2" s="27" t="s">
        <v>10</v>
      </c>
      <c r="AA2" s="28" t="s">
        <v>11</v>
      </c>
      <c r="AB2" s="29" t="s">
        <v>12</v>
      </c>
      <c r="AC2" s="29" t="s">
        <v>13</v>
      </c>
      <c r="AD2" s="29" t="s">
        <v>14</v>
      </c>
      <c r="AE2" s="29" t="s">
        <v>15</v>
      </c>
      <c r="AF2" s="29" t="s">
        <v>16</v>
      </c>
      <c r="AG2" s="29" t="s">
        <v>21</v>
      </c>
      <c r="AH2" s="30" t="s">
        <v>22</v>
      </c>
      <c r="AI2" s="31"/>
      <c r="AK2" s="24" t="s">
        <v>19</v>
      </c>
      <c r="AL2" s="24" t="s">
        <v>20</v>
      </c>
      <c r="AM2" s="25" t="s">
        <v>7</v>
      </c>
      <c r="AN2" s="25" t="s">
        <v>8</v>
      </c>
      <c r="AO2" s="25" t="s">
        <v>7</v>
      </c>
      <c r="AP2" s="26" t="s">
        <v>9</v>
      </c>
      <c r="AQ2" s="25" t="s">
        <v>7</v>
      </c>
      <c r="AR2" s="27" t="s">
        <v>10</v>
      </c>
      <c r="AS2" s="28" t="s">
        <v>11</v>
      </c>
      <c r="AT2" s="29" t="s">
        <v>12</v>
      </c>
      <c r="AU2" s="29" t="s">
        <v>13</v>
      </c>
      <c r="AV2" s="29" t="s">
        <v>14</v>
      </c>
      <c r="AW2" s="29" t="s">
        <v>15</v>
      </c>
      <c r="AX2" s="29" t="s">
        <v>16</v>
      </c>
      <c r="AY2" s="29" t="s">
        <v>21</v>
      </c>
      <c r="AZ2" s="30" t="s">
        <v>22</v>
      </c>
      <c r="BA2" s="31"/>
      <c r="BB2" s="32" t="s">
        <v>23</v>
      </c>
      <c r="BC2" s="33" t="s">
        <v>7</v>
      </c>
      <c r="BD2" s="34" t="s">
        <v>24</v>
      </c>
      <c r="BE2" s="35" t="s">
        <v>7</v>
      </c>
      <c r="BF2" s="24" t="s">
        <v>25</v>
      </c>
      <c r="BG2" s="35" t="s">
        <v>7</v>
      </c>
      <c r="BH2" s="36" t="s">
        <v>26</v>
      </c>
      <c r="BI2" s="37" t="s">
        <v>27</v>
      </c>
      <c r="BJ2" s="38" t="s">
        <v>12</v>
      </c>
      <c r="BK2" s="29" t="s">
        <v>13</v>
      </c>
      <c r="BL2" s="29" t="s">
        <v>14</v>
      </c>
      <c r="BM2" s="29" t="s">
        <v>15</v>
      </c>
      <c r="BN2" s="29" t="s">
        <v>16</v>
      </c>
      <c r="BO2" s="29" t="s">
        <v>21</v>
      </c>
      <c r="BP2" s="30" t="s">
        <v>22</v>
      </c>
      <c r="BQ2" s="39" t="s">
        <v>28</v>
      </c>
      <c r="BR2" s="9"/>
      <c r="BS2" s="36" t="s">
        <v>29</v>
      </c>
      <c r="BT2" s="40"/>
      <c r="BU2" s="36" t="s">
        <v>30</v>
      </c>
      <c r="BV2" s="40"/>
      <c r="BW2" s="36" t="s">
        <v>31</v>
      </c>
      <c r="BX2" s="40"/>
      <c r="BY2" s="36" t="s">
        <v>26</v>
      </c>
      <c r="BZ2" s="41" t="s">
        <v>32</v>
      </c>
      <c r="CA2" s="42" t="s">
        <v>33</v>
      </c>
      <c r="CB2" s="42" t="s">
        <v>34</v>
      </c>
      <c r="CC2" s="43" t="s">
        <v>17</v>
      </c>
      <c r="CD2" s="44" t="s">
        <v>35</v>
      </c>
      <c r="CE2" s="45" t="s">
        <v>28</v>
      </c>
      <c r="CF2" s="9"/>
      <c r="CG2" s="36" t="s">
        <v>29</v>
      </c>
      <c r="CH2" s="36" t="s">
        <v>30</v>
      </c>
      <c r="CI2" s="36" t="s">
        <v>31</v>
      </c>
      <c r="CJ2" s="36" t="s">
        <v>26</v>
      </c>
      <c r="CK2" s="41" t="s">
        <v>32</v>
      </c>
      <c r="CL2" s="42" t="s">
        <v>33</v>
      </c>
      <c r="CM2" s="42" t="s">
        <v>34</v>
      </c>
      <c r="CN2" s="43" t="s">
        <v>17</v>
      </c>
      <c r="CO2" s="44" t="s">
        <v>35</v>
      </c>
      <c r="CP2" s="45" t="s">
        <v>28</v>
      </c>
      <c r="CQ2" s="9"/>
    </row>
    <row r="3">
      <c r="A3" s="46" t="s">
        <v>36</v>
      </c>
      <c r="B3" s="47">
        <f>B32+B24+B16+B8+B4</f>
        <v>546</v>
      </c>
      <c r="C3" s="48">
        <f t="shared" ref="C3:C39" si="10">IFERROR(D3/B3,"")</f>
        <v>0.07395764404</v>
      </c>
      <c r="D3" s="47">
        <f>D32+D24+D16+D8+D4</f>
        <v>40.38087365</v>
      </c>
      <c r="E3" s="48">
        <f t="shared" ref="E3:E39" si="11">IFERROR(F3/D3,"")</f>
        <v>1.998110745</v>
      </c>
      <c r="F3" s="47">
        <f>F32+F24+F16+F8+F4</f>
        <v>80.68545752</v>
      </c>
      <c r="G3" s="48">
        <f t="shared" ref="G3:G39" si="12">IFERROR(H3/F3,"")</f>
        <v>0.01239380715</v>
      </c>
      <c r="H3" s="47">
        <f t="shared" ref="H3:I3" si="1">H32+H24+H16+H8+H4</f>
        <v>1</v>
      </c>
      <c r="I3" s="49">
        <f t="shared" si="1"/>
        <v>137000</v>
      </c>
      <c r="J3" s="50">
        <f t="shared" ref="J3:N3" si="2">J4+J8+J16+J24+J32</f>
        <v>12000</v>
      </c>
      <c r="K3" s="51">
        <f t="shared" si="2"/>
        <v>6000</v>
      </c>
      <c r="L3" s="51">
        <f t="shared" si="2"/>
        <v>44000</v>
      </c>
      <c r="M3" s="51">
        <f t="shared" si="2"/>
        <v>75000</v>
      </c>
      <c r="N3" s="51">
        <f t="shared" si="2"/>
        <v>0</v>
      </c>
      <c r="O3" s="52">
        <f>IFERROR(P3/I3,"")</f>
        <v>0.09489051095</v>
      </c>
      <c r="P3" s="53">
        <f>P8+P4+P16+P24+P32</f>
        <v>13000</v>
      </c>
      <c r="Q3" s="54">
        <f>IFERROR(H3/F3,"")</f>
        <v>0.01239380715</v>
      </c>
      <c r="R3" s="23"/>
      <c r="S3" s="55">
        <f>S32+S24+S16+S8+S4</f>
        <v>270</v>
      </c>
      <c r="T3" s="55"/>
      <c r="U3" s="56">
        <f>IFERROR(V3/S3+T3,"")</f>
        <v>0.1259259259</v>
      </c>
      <c r="V3" s="55">
        <f>V32+V24+V16+V8+V4</f>
        <v>34</v>
      </c>
      <c r="W3" s="56">
        <f t="shared" ref="W3:W39" si="15">IFERROR(X3/V3,"")</f>
        <v>2.147058824</v>
      </c>
      <c r="X3" s="57">
        <f>X32+X24+X16+X8+X4</f>
        <v>73</v>
      </c>
      <c r="Y3" s="56">
        <f t="shared" ref="Y3:Y39" si="16">IFERROR(Z3/X3,"")</f>
        <v>0</v>
      </c>
      <c r="Z3" s="55">
        <f t="shared" ref="Z3:AA3" si="3">Z32+Z24+Z16+Z8+Z4</f>
        <v>0</v>
      </c>
      <c r="AA3" s="58">
        <f t="shared" si="3"/>
        <v>65000</v>
      </c>
      <c r="AB3" s="59">
        <f t="shared" ref="AB3:AF3" si="4">SUM(AB4:AB32)</f>
        <v>0</v>
      </c>
      <c r="AC3" s="59">
        <f t="shared" si="4"/>
        <v>6000</v>
      </c>
      <c r="AD3" s="59">
        <f t="shared" si="4"/>
        <v>19000</v>
      </c>
      <c r="AE3" s="59">
        <f t="shared" si="4"/>
        <v>40000</v>
      </c>
      <c r="AF3" s="59">
        <f t="shared" si="4"/>
        <v>0</v>
      </c>
      <c r="AG3" s="60">
        <f>IFERROR(AH3/AA3,"")</f>
        <v>0.2</v>
      </c>
      <c r="AH3" s="59">
        <f>SUM(AH4:AH32)</f>
        <v>13000</v>
      </c>
      <c r="AI3" s="61">
        <f>IFERROR(Z3/X3,"")</f>
        <v>0</v>
      </c>
      <c r="AK3" s="55">
        <f>AK32+AK24+AK16+AK8+AK4</f>
        <v>270</v>
      </c>
      <c r="AL3" s="55"/>
      <c r="AM3" s="56">
        <f>IFERROR(AN3/AK3+AL3,"")</f>
        <v>0.1259259259</v>
      </c>
      <c r="AN3" s="62">
        <f>AN32+AN24+AN16+AN8+AN4</f>
        <v>34</v>
      </c>
      <c r="AO3" s="56">
        <f t="shared" ref="AO3:AO32" si="18">IFERROR(AP3/AN3,"")</f>
        <v>2.147058824</v>
      </c>
      <c r="AP3" s="63">
        <f>AP32+AP24+AP16+AP8+AP4</f>
        <v>73</v>
      </c>
      <c r="AQ3" s="56">
        <f t="shared" ref="AQ3:AQ32" si="19">IFERROR(AR3/AP3,"")</f>
        <v>0</v>
      </c>
      <c r="AR3" s="58">
        <f t="shared" ref="AR3:AS3" si="5">AR32+AR24+AR16+AR8+AR4</f>
        <v>0</v>
      </c>
      <c r="AS3" s="58">
        <f t="shared" si="5"/>
        <v>0</v>
      </c>
      <c r="AT3" s="59">
        <f t="shared" ref="AT3:AX3" si="6">SUM(AT4:AT32)</f>
        <v>0</v>
      </c>
      <c r="AU3" s="59">
        <f t="shared" si="6"/>
        <v>0</v>
      </c>
      <c r="AV3" s="59">
        <f t="shared" si="6"/>
        <v>0</v>
      </c>
      <c r="AW3" s="59">
        <f t="shared" si="6"/>
        <v>0</v>
      </c>
      <c r="AX3" s="59">
        <f t="shared" si="6"/>
        <v>0</v>
      </c>
      <c r="AY3" s="60" t="str">
        <f>IFERROR(AZ3/AS3,"")</f>
        <v/>
      </c>
      <c r="AZ3" s="59">
        <f>SUM(AZ4:AZ32)</f>
        <v>0</v>
      </c>
      <c r="BA3" s="61">
        <f>IFERROR(AR3/AP3,"")</f>
        <v>0</v>
      </c>
      <c r="BB3" s="55">
        <f>BB32+BB24+BB16+BB8+BB4</f>
        <v>6</v>
      </c>
      <c r="BC3" s="56">
        <f t="shared" ref="BC3:BC28" si="21">IFERROR(BD3/BB3,"")</f>
        <v>1</v>
      </c>
      <c r="BD3" s="55">
        <f>BD32+BD24+BD16+BD8+BD4</f>
        <v>6</v>
      </c>
      <c r="BE3" s="56">
        <f t="shared" ref="BE3:BE32" si="22">IFERROR(BF3/BD3,"")</f>
        <v>1</v>
      </c>
      <c r="BF3" s="57">
        <f>BF32+BF24+BF16+BF8+BF4</f>
        <v>6</v>
      </c>
      <c r="BG3" s="56">
        <f t="shared" ref="BG3:BG32" si="23">IFERROR(BH3/BF3,"")</f>
        <v>0.1666666667</v>
      </c>
      <c r="BH3" s="55">
        <f t="shared" ref="BH3:BN3" si="7">BH32+BH24+BH16+BH8+BH4</f>
        <v>1</v>
      </c>
      <c r="BI3" s="58">
        <f t="shared" si="7"/>
        <v>72000</v>
      </c>
      <c r="BJ3" s="64">
        <f t="shared" si="7"/>
        <v>12000</v>
      </c>
      <c r="BK3" s="64">
        <f t="shared" si="7"/>
        <v>0</v>
      </c>
      <c r="BL3" s="64">
        <f t="shared" si="7"/>
        <v>25000</v>
      </c>
      <c r="BM3" s="64">
        <f t="shared" si="7"/>
        <v>35000</v>
      </c>
      <c r="BN3" s="64">
        <f t="shared" si="7"/>
        <v>0</v>
      </c>
      <c r="BO3" s="60">
        <f>IFERROR(BP3/BI3,"")</f>
        <v>0</v>
      </c>
      <c r="BP3" s="59">
        <f>SUM(BP4:BP32)</f>
        <v>0</v>
      </c>
      <c r="BQ3" s="61">
        <f t="shared" ref="BQ3:BQ39" si="25">IFERROR(BH3/BD3,"")</f>
        <v>0.1666666667</v>
      </c>
      <c r="BR3" s="9"/>
      <c r="BS3" s="65">
        <f>BS32+BS24+BS16+BS8+BS4</f>
        <v>0</v>
      </c>
      <c r="BT3" s="66"/>
      <c r="BU3" s="65">
        <f>BU32+BU24+BU16+BU8+BU4</f>
        <v>0</v>
      </c>
      <c r="BV3" s="66"/>
      <c r="BW3" s="65">
        <f>BW32+BW24+BW16+BW8+BW4</f>
        <v>0</v>
      </c>
      <c r="BX3" s="66"/>
      <c r="BY3" s="65">
        <f t="shared" ref="BY3:BZ3" si="8">BY32+BY24+BY16+BY8+BY4</f>
        <v>0</v>
      </c>
      <c r="BZ3" s="67">
        <f t="shared" si="8"/>
        <v>0</v>
      </c>
      <c r="CA3" s="68"/>
      <c r="CB3" s="68"/>
      <c r="CC3" s="68"/>
      <c r="CD3" s="69"/>
      <c r="CE3" s="61" t="str">
        <f>IFERROR(BY3/BU3,"")</f>
        <v/>
      </c>
      <c r="CF3" s="9"/>
      <c r="CG3" s="55">
        <f t="shared" ref="CG3:CK3" si="9">CG32+CG24+CG16+CG8+CG4</f>
        <v>0</v>
      </c>
      <c r="CH3" s="55">
        <f t="shared" si="9"/>
        <v>0</v>
      </c>
      <c r="CI3" s="55">
        <f t="shared" si="9"/>
        <v>0</v>
      </c>
      <c r="CJ3" s="55">
        <f t="shared" si="9"/>
        <v>0</v>
      </c>
      <c r="CK3" s="55">
        <f t="shared" si="9"/>
        <v>0</v>
      </c>
      <c r="CL3" s="68"/>
      <c r="CM3" s="68"/>
      <c r="CN3" s="68"/>
      <c r="CO3" s="69"/>
      <c r="CP3" s="61"/>
      <c r="CQ3" s="9"/>
    </row>
    <row r="4" ht="15.0" customHeight="1" collapsed="1">
      <c r="A4" s="70" t="s">
        <v>37</v>
      </c>
      <c r="B4" s="71">
        <f>SUM(B5:B7)</f>
        <v>0</v>
      </c>
      <c r="C4" s="72" t="str">
        <f t="shared" si="10"/>
        <v/>
      </c>
      <c r="D4" s="54">
        <f>SUM(D5:D7)</f>
        <v>0</v>
      </c>
      <c r="E4" s="72" t="str">
        <f t="shared" si="11"/>
        <v/>
      </c>
      <c r="F4" s="54">
        <f>SUM(F5:F7)</f>
        <v>0</v>
      </c>
      <c r="G4" s="72" t="str">
        <f t="shared" si="12"/>
        <v/>
      </c>
      <c r="H4" s="73">
        <f t="shared" ref="H4:I4" si="13">SUM(H5:H7)</f>
        <v>0</v>
      </c>
      <c r="I4" s="74">
        <f t="shared" si="13"/>
        <v>0</v>
      </c>
      <c r="J4" s="75">
        <f t="shared" ref="J4:M4" si="14">AB4+AS4+BJ4</f>
        <v>0</v>
      </c>
      <c r="K4" s="76">
        <f t="shared" si="14"/>
        <v>0</v>
      </c>
      <c r="L4" s="76">
        <f t="shared" si="14"/>
        <v>0</v>
      </c>
      <c r="M4" s="76">
        <f t="shared" si="14"/>
        <v>0</v>
      </c>
      <c r="N4" s="77"/>
      <c r="O4" s="77"/>
      <c r="P4" s="78">
        <f t="shared" ref="P4:P32" si="28">AH4+AY4+BP4</f>
        <v>0</v>
      </c>
      <c r="Q4" s="54"/>
      <c r="R4" s="79">
        <v>5.0</v>
      </c>
      <c r="S4" s="71">
        <f>SUM(S5:S7)</f>
        <v>0</v>
      </c>
      <c r="T4" s="71"/>
      <c r="U4" s="72" t="str">
        <f t="shared" ref="U4:U28" si="29">IFERROR(V4/S4,"")</f>
        <v/>
      </c>
      <c r="V4" s="71">
        <f>SUM(V5:V7)</f>
        <v>0</v>
      </c>
      <c r="W4" s="72" t="str">
        <f t="shared" si="15"/>
        <v/>
      </c>
      <c r="X4" s="71">
        <f>SUM(X5:X7)</f>
        <v>0</v>
      </c>
      <c r="Y4" s="80" t="str">
        <f t="shared" si="16"/>
        <v/>
      </c>
      <c r="Z4" s="71">
        <f t="shared" ref="Z4:AF4" si="17">SUM(Z5:Z7)</f>
        <v>0</v>
      </c>
      <c r="AA4" s="74">
        <f t="shared" si="17"/>
        <v>0</v>
      </c>
      <c r="AB4" s="81">
        <f t="shared" si="17"/>
        <v>0</v>
      </c>
      <c r="AC4" s="81">
        <f t="shared" si="17"/>
        <v>0</v>
      </c>
      <c r="AD4" s="81">
        <f t="shared" si="17"/>
        <v>0</v>
      </c>
      <c r="AE4" s="81">
        <f t="shared" si="17"/>
        <v>0</v>
      </c>
      <c r="AF4" s="81">
        <f t="shared" si="17"/>
        <v>0</v>
      </c>
      <c r="AG4" s="82"/>
      <c r="AH4" s="83"/>
      <c r="AI4" s="82" t="str">
        <f t="shared" ref="AI4:AI39" si="30">IFERROR(Z4/V4,"")</f>
        <v/>
      </c>
      <c r="AJ4" s="84"/>
      <c r="AK4" s="71">
        <f>SUM(AK5:AK7)</f>
        <v>0</v>
      </c>
      <c r="AL4" s="71"/>
      <c r="AM4" s="72" t="str">
        <f t="shared" ref="AM4:AM28" si="31">IFERROR(AN4/AK4,"")</f>
        <v/>
      </c>
      <c r="AN4" s="71">
        <f>SUM(AN5:AN7)</f>
        <v>0</v>
      </c>
      <c r="AO4" s="72" t="str">
        <f t="shared" si="18"/>
        <v/>
      </c>
      <c r="AP4" s="71">
        <f>SUM(AP5:AP7)</f>
        <v>0</v>
      </c>
      <c r="AQ4" s="80" t="str">
        <f t="shared" si="19"/>
        <v/>
      </c>
      <c r="AR4" s="71">
        <f t="shared" ref="AR4:AX4" si="20">SUM(AR5:AR7)</f>
        <v>0</v>
      </c>
      <c r="AS4" s="74">
        <f t="shared" si="20"/>
        <v>0</v>
      </c>
      <c r="AT4" s="81">
        <f t="shared" si="20"/>
        <v>0</v>
      </c>
      <c r="AU4" s="81">
        <f t="shared" si="20"/>
        <v>0</v>
      </c>
      <c r="AV4" s="81">
        <f t="shared" si="20"/>
        <v>0</v>
      </c>
      <c r="AW4" s="81">
        <f t="shared" si="20"/>
        <v>0</v>
      </c>
      <c r="AX4" s="81">
        <f t="shared" si="20"/>
        <v>0</v>
      </c>
      <c r="AY4" s="82"/>
      <c r="AZ4" s="83"/>
      <c r="BA4" s="82" t="str">
        <f t="shared" ref="BA4:BA32" si="32">IFERROR(AR4/AN4,"")</f>
        <v/>
      </c>
      <c r="BB4" s="71">
        <f>SUM(BB5:BB7)</f>
        <v>0</v>
      </c>
      <c r="BC4" s="72" t="str">
        <f t="shared" si="21"/>
        <v/>
      </c>
      <c r="BD4" s="71">
        <f>SUM(BD5:BD7)</f>
        <v>0</v>
      </c>
      <c r="BE4" s="72" t="str">
        <f t="shared" si="22"/>
        <v/>
      </c>
      <c r="BF4" s="71">
        <f>SUM(BF5:BF7)</f>
        <v>0</v>
      </c>
      <c r="BG4" s="80" t="str">
        <f t="shared" si="23"/>
        <v/>
      </c>
      <c r="BH4" s="71">
        <f t="shared" ref="BH4:BN4" si="24">SUM(BH5:BH7)</f>
        <v>0</v>
      </c>
      <c r="BI4" s="74">
        <f t="shared" si="24"/>
        <v>0</v>
      </c>
      <c r="BJ4" s="81">
        <f t="shared" si="24"/>
        <v>0</v>
      </c>
      <c r="BK4" s="81">
        <f t="shared" si="24"/>
        <v>0</v>
      </c>
      <c r="BL4" s="81">
        <f t="shared" si="24"/>
        <v>0</v>
      </c>
      <c r="BM4" s="81">
        <f t="shared" si="24"/>
        <v>0</v>
      </c>
      <c r="BN4" s="81">
        <f t="shared" si="24"/>
        <v>0</v>
      </c>
      <c r="BO4" s="82"/>
      <c r="BP4" s="83"/>
      <c r="BQ4" s="82" t="str">
        <f t="shared" si="25"/>
        <v/>
      </c>
      <c r="BR4" s="85"/>
      <c r="BS4" s="71">
        <f>SUM(BS5:BS10)</f>
        <v>0</v>
      </c>
      <c r="BT4" s="72" t="str">
        <f>IFERROR(BU4/BS4,"")</f>
        <v/>
      </c>
      <c r="BU4" s="71">
        <f>SUM(BU5:BU10)</f>
        <v>0</v>
      </c>
      <c r="BV4" s="72" t="str">
        <f>IFERROR(BW4/BU4,"")</f>
        <v/>
      </c>
      <c r="BW4" s="71">
        <f>SUM(BW5:BW10)</f>
        <v>0</v>
      </c>
      <c r="BX4" s="72" t="str">
        <f>IFERROR(BY4/BW4,"")</f>
        <v/>
      </c>
      <c r="BY4" s="71">
        <f t="shared" ref="BY4:CA4" si="26">SUM(BY5:BY10)</f>
        <v>0</v>
      </c>
      <c r="BZ4" s="86">
        <f t="shared" si="26"/>
        <v>0</v>
      </c>
      <c r="CA4" s="54">
        <f t="shared" si="26"/>
        <v>0</v>
      </c>
      <c r="CB4" s="82"/>
      <c r="CC4" s="82"/>
      <c r="CD4" s="83"/>
      <c r="CE4" s="82" t="str">
        <f t="shared" ref="CE4:CE5" si="33">IFERROR(BW4/BS4,"")</f>
        <v/>
      </c>
      <c r="CF4" s="85"/>
      <c r="CG4" s="71"/>
      <c r="CH4" s="71"/>
      <c r="CI4" s="71"/>
      <c r="CJ4" s="71"/>
      <c r="CK4" s="71"/>
      <c r="CL4" s="71"/>
      <c r="CM4" s="82"/>
      <c r="CN4" s="82"/>
      <c r="CO4" s="83"/>
      <c r="CP4" s="82"/>
      <c r="CQ4" s="85"/>
    </row>
    <row r="5" hidden="1" outlineLevel="1">
      <c r="A5" s="87">
        <f t="shared" ref="A5:A6" si="34">A6+1</f>
        <v>45322</v>
      </c>
      <c r="B5" s="88">
        <f t="shared" ref="B5:B7" si="35">S5+AK5+BB5+BS5+CG5</f>
        <v>0</v>
      </c>
      <c r="C5" s="89" t="str">
        <f t="shared" si="10"/>
        <v/>
      </c>
      <c r="D5" s="90">
        <f t="shared" ref="D5:D7" si="36">V5+AM5+BD5+BU5+CH5</f>
        <v>0</v>
      </c>
      <c r="E5" s="89" t="str">
        <f t="shared" si="11"/>
        <v/>
      </c>
      <c r="F5" s="90">
        <f t="shared" ref="F5:F7" si="37">X5+AO5+BF5+BW5+CI5</f>
        <v>0</v>
      </c>
      <c r="G5" s="89" t="str">
        <f t="shared" si="12"/>
        <v/>
      </c>
      <c r="H5" s="91">
        <f>Z5+AQ5+BH5+BY5</f>
        <v>0</v>
      </c>
      <c r="I5" s="92">
        <f>AA5+AR5+BI5+BZ5+CK5</f>
        <v>0</v>
      </c>
      <c r="J5" s="75">
        <f t="shared" ref="J5:M5" si="27">AB5+AS5+BJ5</f>
        <v>0</v>
      </c>
      <c r="K5" s="76">
        <f t="shared" si="27"/>
        <v>0</v>
      </c>
      <c r="L5" s="76">
        <f t="shared" si="27"/>
        <v>0</v>
      </c>
      <c r="M5" s="76">
        <f t="shared" si="27"/>
        <v>0</v>
      </c>
      <c r="N5" s="93"/>
      <c r="O5" s="93" t="str">
        <f>IFERROR(P5/I5,"")</f>
        <v/>
      </c>
      <c r="P5" s="94">
        <f t="shared" si="28"/>
        <v>0</v>
      </c>
      <c r="Q5" s="90" t="str">
        <f>IFERROR(H5/D5,"")</f>
        <v/>
      </c>
      <c r="R5" s="95"/>
      <c r="S5" s="96"/>
      <c r="T5" s="96"/>
      <c r="U5" s="97" t="str">
        <f t="shared" si="29"/>
        <v/>
      </c>
      <c r="V5" s="96"/>
      <c r="W5" s="97" t="str">
        <f t="shared" si="15"/>
        <v/>
      </c>
      <c r="X5" s="96"/>
      <c r="Y5" s="98" t="str">
        <f t="shared" si="16"/>
        <v/>
      </c>
      <c r="Z5" s="96"/>
      <c r="AA5" s="99"/>
      <c r="AB5" s="100"/>
      <c r="AC5" s="100"/>
      <c r="AD5" s="100"/>
      <c r="AE5" s="100"/>
      <c r="AF5" s="100"/>
      <c r="AG5" s="101"/>
      <c r="AH5" s="102"/>
      <c r="AI5" s="101" t="str">
        <f t="shared" si="30"/>
        <v/>
      </c>
      <c r="AJ5" s="103"/>
      <c r="AK5" s="96"/>
      <c r="AL5" s="96"/>
      <c r="AM5" s="97" t="str">
        <f t="shared" si="31"/>
        <v/>
      </c>
      <c r="AN5" s="96"/>
      <c r="AO5" s="97" t="str">
        <f t="shared" si="18"/>
        <v/>
      </c>
      <c r="AP5" s="96"/>
      <c r="AQ5" s="98" t="str">
        <f t="shared" si="19"/>
        <v/>
      </c>
      <c r="AR5" s="96"/>
      <c r="AS5" s="99"/>
      <c r="AT5" s="100"/>
      <c r="AU5" s="100"/>
      <c r="AV5" s="100"/>
      <c r="AW5" s="100"/>
      <c r="AX5" s="100"/>
      <c r="AY5" s="101"/>
      <c r="AZ5" s="102"/>
      <c r="BA5" s="101" t="str">
        <f t="shared" si="32"/>
        <v/>
      </c>
      <c r="BB5" s="96"/>
      <c r="BC5" s="97" t="str">
        <f t="shared" si="21"/>
        <v/>
      </c>
      <c r="BD5" s="96"/>
      <c r="BE5" s="97" t="str">
        <f t="shared" si="22"/>
        <v/>
      </c>
      <c r="BF5" s="96"/>
      <c r="BG5" s="98" t="str">
        <f t="shared" si="23"/>
        <v/>
      </c>
      <c r="BH5" s="96"/>
      <c r="BI5" s="92"/>
      <c r="BJ5" s="100"/>
      <c r="BK5" s="100"/>
      <c r="BL5" s="100"/>
      <c r="BM5" s="100"/>
      <c r="BN5" s="100"/>
      <c r="BO5" s="101"/>
      <c r="BP5" s="102"/>
      <c r="BQ5" s="101" t="str">
        <f t="shared" si="25"/>
        <v/>
      </c>
      <c r="BR5" s="104"/>
      <c r="BS5" s="96"/>
      <c r="BT5" s="105"/>
      <c r="BU5" s="96"/>
      <c r="BV5" s="105"/>
      <c r="BW5" s="96"/>
      <c r="BX5" s="105"/>
      <c r="BY5" s="96"/>
      <c r="BZ5" s="106"/>
      <c r="CA5" s="101"/>
      <c r="CB5" s="101"/>
      <c r="CC5" s="101"/>
      <c r="CD5" s="102"/>
      <c r="CE5" s="101" t="str">
        <f t="shared" si="33"/>
        <v/>
      </c>
      <c r="CF5" s="104"/>
      <c r="CG5" s="96"/>
      <c r="CH5" s="96"/>
      <c r="CI5" s="96"/>
      <c r="CJ5" s="96"/>
      <c r="CK5" s="106"/>
      <c r="CL5" s="101"/>
      <c r="CM5" s="101"/>
      <c r="CN5" s="101"/>
      <c r="CO5" s="102"/>
      <c r="CP5" s="101"/>
      <c r="CQ5" s="104"/>
    </row>
    <row r="6" hidden="1" outlineLevel="1">
      <c r="A6" s="87">
        <f t="shared" si="34"/>
        <v>45321</v>
      </c>
      <c r="B6" s="88">
        <f t="shared" si="35"/>
        <v>0</v>
      </c>
      <c r="C6" s="89" t="str">
        <f t="shared" si="10"/>
        <v/>
      </c>
      <c r="D6" s="90">
        <f t="shared" si="36"/>
        <v>0</v>
      </c>
      <c r="E6" s="89" t="str">
        <f t="shared" si="11"/>
        <v/>
      </c>
      <c r="F6" s="90">
        <f t="shared" si="37"/>
        <v>0</v>
      </c>
      <c r="G6" s="89" t="str">
        <f t="shared" si="12"/>
        <v/>
      </c>
      <c r="H6" s="91">
        <f t="shared" ref="H6:I6" si="38">Z6+AQ6+BH6+BY6+CJ6</f>
        <v>0</v>
      </c>
      <c r="I6" s="107">
        <f t="shared" si="38"/>
        <v>0</v>
      </c>
      <c r="J6" s="75">
        <f t="shared" ref="J6:M6" si="39">AB6+AS6+BJ6</f>
        <v>0</v>
      </c>
      <c r="K6" s="76">
        <f t="shared" si="39"/>
        <v>0</v>
      </c>
      <c r="L6" s="76">
        <f t="shared" si="39"/>
        <v>0</v>
      </c>
      <c r="M6" s="76">
        <f t="shared" si="39"/>
        <v>0</v>
      </c>
      <c r="N6" s="93"/>
      <c r="O6" s="93"/>
      <c r="P6" s="94">
        <f t="shared" si="28"/>
        <v>0</v>
      </c>
      <c r="Q6" s="90"/>
      <c r="R6" s="95"/>
      <c r="S6" s="96"/>
      <c r="T6" s="96"/>
      <c r="U6" s="97" t="str">
        <f t="shared" si="29"/>
        <v/>
      </c>
      <c r="V6" s="96"/>
      <c r="W6" s="97" t="str">
        <f t="shared" si="15"/>
        <v/>
      </c>
      <c r="X6" s="96"/>
      <c r="Y6" s="98" t="str">
        <f t="shared" si="16"/>
        <v/>
      </c>
      <c r="Z6" s="96"/>
      <c r="AA6" s="99"/>
      <c r="AB6" s="100"/>
      <c r="AC6" s="100"/>
      <c r="AD6" s="100"/>
      <c r="AE6" s="100"/>
      <c r="AF6" s="100"/>
      <c r="AG6" s="101"/>
      <c r="AH6" s="102"/>
      <c r="AI6" s="101" t="str">
        <f t="shared" si="30"/>
        <v/>
      </c>
      <c r="AJ6" s="103"/>
      <c r="AK6" s="96"/>
      <c r="AL6" s="96"/>
      <c r="AM6" s="97" t="str">
        <f t="shared" si="31"/>
        <v/>
      </c>
      <c r="AN6" s="96"/>
      <c r="AO6" s="97" t="str">
        <f t="shared" si="18"/>
        <v/>
      </c>
      <c r="AP6" s="96"/>
      <c r="AQ6" s="98" t="str">
        <f t="shared" si="19"/>
        <v/>
      </c>
      <c r="AR6" s="96"/>
      <c r="AS6" s="99"/>
      <c r="AT6" s="100"/>
      <c r="AU6" s="100"/>
      <c r="AV6" s="100"/>
      <c r="AW6" s="100"/>
      <c r="AX6" s="100"/>
      <c r="AY6" s="101"/>
      <c r="AZ6" s="102"/>
      <c r="BA6" s="101" t="str">
        <f t="shared" si="32"/>
        <v/>
      </c>
      <c r="BB6" s="96"/>
      <c r="BC6" s="97" t="str">
        <f t="shared" si="21"/>
        <v/>
      </c>
      <c r="BD6" s="96"/>
      <c r="BE6" s="97" t="str">
        <f t="shared" si="22"/>
        <v/>
      </c>
      <c r="BF6" s="96"/>
      <c r="BG6" s="98" t="str">
        <f t="shared" si="23"/>
        <v/>
      </c>
      <c r="BH6" s="96"/>
      <c r="BI6" s="92"/>
      <c r="BJ6" s="100"/>
      <c r="BK6" s="100"/>
      <c r="BL6" s="100"/>
      <c r="BM6" s="100"/>
      <c r="BN6" s="100"/>
      <c r="BO6" s="101"/>
      <c r="BP6" s="102"/>
      <c r="BQ6" s="101" t="str">
        <f t="shared" si="25"/>
        <v/>
      </c>
      <c r="BR6" s="104"/>
      <c r="BS6" s="96"/>
      <c r="BT6" s="105"/>
      <c r="BU6" s="96"/>
      <c r="BV6" s="105"/>
      <c r="BW6" s="96"/>
      <c r="BX6" s="105"/>
      <c r="BY6" s="96"/>
      <c r="BZ6" s="106"/>
      <c r="CA6" s="101"/>
      <c r="CB6" s="101"/>
      <c r="CC6" s="101"/>
      <c r="CD6" s="102"/>
      <c r="CE6" s="101"/>
      <c r="CF6" s="104"/>
      <c r="CG6" s="96"/>
      <c r="CH6" s="96"/>
      <c r="CI6" s="96"/>
      <c r="CJ6" s="96"/>
      <c r="CK6" s="106"/>
      <c r="CL6" s="101"/>
      <c r="CM6" s="101"/>
      <c r="CN6" s="101"/>
      <c r="CO6" s="102"/>
      <c r="CP6" s="101"/>
      <c r="CQ6" s="104"/>
    </row>
    <row r="7" hidden="1" outlineLevel="1">
      <c r="A7" s="87">
        <f>A9+1</f>
        <v>45320</v>
      </c>
      <c r="B7" s="91">
        <f t="shared" si="35"/>
        <v>0</v>
      </c>
      <c r="C7" s="89" t="str">
        <f t="shared" si="10"/>
        <v/>
      </c>
      <c r="D7" s="90">
        <f t="shared" si="36"/>
        <v>0</v>
      </c>
      <c r="E7" s="89" t="str">
        <f t="shared" si="11"/>
        <v/>
      </c>
      <c r="F7" s="90">
        <f t="shared" si="37"/>
        <v>0</v>
      </c>
      <c r="G7" s="89" t="str">
        <f t="shared" si="12"/>
        <v/>
      </c>
      <c r="H7" s="91">
        <f t="shared" ref="H7:I7" si="40">Z7+AQ7+BH7+BY7+CJ7</f>
        <v>0</v>
      </c>
      <c r="I7" s="107">
        <f t="shared" si="40"/>
        <v>0</v>
      </c>
      <c r="J7" s="75">
        <f t="shared" ref="J7:M7" si="41">AB7+AS7+BJ7</f>
        <v>0</v>
      </c>
      <c r="K7" s="76">
        <f t="shared" si="41"/>
        <v>0</v>
      </c>
      <c r="L7" s="76">
        <f t="shared" si="41"/>
        <v>0</v>
      </c>
      <c r="M7" s="76">
        <f t="shared" si="41"/>
        <v>0</v>
      </c>
      <c r="N7" s="93"/>
      <c r="O7" s="93" t="str">
        <f>IFERROR(P7/I7,"")</f>
        <v/>
      </c>
      <c r="P7" s="94">
        <f t="shared" si="28"/>
        <v>0</v>
      </c>
      <c r="Q7" s="90" t="str">
        <f t="shared" ref="Q7:Q39" si="44">IFERROR(H7/D7,"")</f>
        <v/>
      </c>
      <c r="R7" s="95"/>
      <c r="S7" s="96"/>
      <c r="T7" s="96"/>
      <c r="U7" s="97" t="str">
        <f t="shared" si="29"/>
        <v/>
      </c>
      <c r="V7" s="96"/>
      <c r="W7" s="97" t="str">
        <f t="shared" si="15"/>
        <v/>
      </c>
      <c r="X7" s="96"/>
      <c r="Y7" s="98" t="str">
        <f t="shared" si="16"/>
        <v/>
      </c>
      <c r="Z7" s="96"/>
      <c r="AA7" s="99"/>
      <c r="AB7" s="100"/>
      <c r="AC7" s="100"/>
      <c r="AD7" s="100"/>
      <c r="AE7" s="100"/>
      <c r="AF7" s="100"/>
      <c r="AG7" s="101"/>
      <c r="AH7" s="102"/>
      <c r="AI7" s="101" t="str">
        <f t="shared" si="30"/>
        <v/>
      </c>
      <c r="AJ7" s="103"/>
      <c r="AK7" s="96"/>
      <c r="AL7" s="96"/>
      <c r="AM7" s="97" t="str">
        <f t="shared" si="31"/>
        <v/>
      </c>
      <c r="AN7" s="96"/>
      <c r="AO7" s="97" t="str">
        <f t="shared" si="18"/>
        <v/>
      </c>
      <c r="AP7" s="96"/>
      <c r="AQ7" s="98" t="str">
        <f t="shared" si="19"/>
        <v/>
      </c>
      <c r="AR7" s="96"/>
      <c r="AS7" s="99"/>
      <c r="AT7" s="100"/>
      <c r="AU7" s="100"/>
      <c r="AV7" s="100"/>
      <c r="AW7" s="100"/>
      <c r="AX7" s="100"/>
      <c r="AY7" s="101"/>
      <c r="AZ7" s="102"/>
      <c r="BA7" s="101" t="str">
        <f t="shared" si="32"/>
        <v/>
      </c>
      <c r="BB7" s="96"/>
      <c r="BC7" s="97" t="str">
        <f t="shared" si="21"/>
        <v/>
      </c>
      <c r="BD7" s="96"/>
      <c r="BE7" s="97" t="str">
        <f t="shared" si="22"/>
        <v/>
      </c>
      <c r="BF7" s="96"/>
      <c r="BG7" s="98" t="str">
        <f t="shared" si="23"/>
        <v/>
      </c>
      <c r="BH7" s="96"/>
      <c r="BI7" s="92"/>
      <c r="BJ7" s="100"/>
      <c r="BK7" s="100"/>
      <c r="BL7" s="100"/>
      <c r="BM7" s="100"/>
      <c r="BN7" s="100"/>
      <c r="BO7" s="101"/>
      <c r="BP7" s="102"/>
      <c r="BQ7" s="101" t="str">
        <f t="shared" si="25"/>
        <v/>
      </c>
      <c r="BR7" s="104"/>
      <c r="BS7" s="108"/>
      <c r="BT7" s="109"/>
      <c r="BU7" s="108"/>
      <c r="BV7" s="109"/>
      <c r="BW7" s="108"/>
      <c r="BX7" s="109"/>
      <c r="BY7" s="108"/>
      <c r="BZ7" s="108"/>
      <c r="CA7" s="101"/>
      <c r="CB7" s="101"/>
      <c r="CC7" s="101"/>
      <c r="CD7" s="102"/>
      <c r="CE7" s="101" t="str">
        <f t="shared" ref="CE7:CE31" si="49">IFERROR(BW7/BS7,"")</f>
        <v/>
      </c>
      <c r="CF7" s="104"/>
      <c r="CG7" s="108"/>
      <c r="CH7" s="108"/>
      <c r="CI7" s="108"/>
      <c r="CJ7" s="108"/>
      <c r="CK7" s="108"/>
      <c r="CL7" s="101"/>
      <c r="CM7" s="101"/>
      <c r="CN7" s="101"/>
      <c r="CO7" s="102"/>
      <c r="CP7" s="101"/>
      <c r="CQ7" s="104"/>
    </row>
    <row r="8" collapsed="1">
      <c r="A8" s="70" t="s">
        <v>38</v>
      </c>
      <c r="B8" s="73">
        <f>SUM(B9:B15)</f>
        <v>540</v>
      </c>
      <c r="C8" s="72">
        <f t="shared" si="10"/>
        <v>0.06366828453</v>
      </c>
      <c r="D8" s="54">
        <f>SUM(D9:D15)</f>
        <v>34.38087365</v>
      </c>
      <c r="E8" s="72">
        <f t="shared" si="11"/>
        <v>0.6016559593</v>
      </c>
      <c r="F8" s="54">
        <f>SUM(F9:F15)</f>
        <v>20.68545752</v>
      </c>
      <c r="G8" s="72">
        <f t="shared" si="12"/>
        <v>0</v>
      </c>
      <c r="H8" s="73">
        <f t="shared" ref="H8:I8" si="42">SUM(H9:H15)</f>
        <v>0</v>
      </c>
      <c r="I8" s="74">
        <f t="shared" si="42"/>
        <v>35000</v>
      </c>
      <c r="J8" s="75">
        <f t="shared" ref="J8:M8" si="43">AB8+AS8+BJ8</f>
        <v>0</v>
      </c>
      <c r="K8" s="76">
        <f t="shared" si="43"/>
        <v>0</v>
      </c>
      <c r="L8" s="76">
        <f t="shared" si="43"/>
        <v>0</v>
      </c>
      <c r="M8" s="76">
        <f t="shared" si="43"/>
        <v>35000</v>
      </c>
      <c r="N8" s="77"/>
      <c r="O8" s="77"/>
      <c r="P8" s="78">
        <f t="shared" si="28"/>
        <v>0</v>
      </c>
      <c r="Q8" s="54">
        <f t="shared" si="44"/>
        <v>0</v>
      </c>
      <c r="R8" s="79">
        <v>4.0</v>
      </c>
      <c r="S8" s="71">
        <f>SUM(S9:S15)</f>
        <v>270</v>
      </c>
      <c r="T8" s="71"/>
      <c r="U8" s="72">
        <f t="shared" si="29"/>
        <v>0.1259259259</v>
      </c>
      <c r="V8" s="71">
        <f>SUM(V9:V15)</f>
        <v>34</v>
      </c>
      <c r="W8" s="72">
        <f t="shared" si="15"/>
        <v>0.5588235294</v>
      </c>
      <c r="X8" s="71">
        <f>SUM(X9:X15)</f>
        <v>19</v>
      </c>
      <c r="Y8" s="80">
        <f t="shared" si="16"/>
        <v>0</v>
      </c>
      <c r="Z8" s="71">
        <f t="shared" ref="Z8:AF8" si="45">SUM(Z9:Z15)</f>
        <v>0</v>
      </c>
      <c r="AA8" s="74">
        <f t="shared" si="45"/>
        <v>0</v>
      </c>
      <c r="AB8" s="81">
        <f t="shared" si="45"/>
        <v>0</v>
      </c>
      <c r="AC8" s="81">
        <f t="shared" si="45"/>
        <v>0</v>
      </c>
      <c r="AD8" s="81">
        <f t="shared" si="45"/>
        <v>0</v>
      </c>
      <c r="AE8" s="81">
        <f t="shared" si="45"/>
        <v>0</v>
      </c>
      <c r="AF8" s="81">
        <f t="shared" si="45"/>
        <v>0</v>
      </c>
      <c r="AG8" s="82"/>
      <c r="AH8" s="83"/>
      <c r="AI8" s="82">
        <f t="shared" si="30"/>
        <v>0</v>
      </c>
      <c r="AJ8" s="84"/>
      <c r="AK8" s="71">
        <f>SUM(AK9:AK15)</f>
        <v>270</v>
      </c>
      <c r="AL8" s="71"/>
      <c r="AM8" s="72">
        <f t="shared" si="31"/>
        <v>0.1259259259</v>
      </c>
      <c r="AN8" s="71">
        <f>SUM(AN9:AN15)</f>
        <v>34</v>
      </c>
      <c r="AO8" s="72">
        <f t="shared" si="18"/>
        <v>0.5588235294</v>
      </c>
      <c r="AP8" s="71">
        <f>SUM(AP9:AP15)</f>
        <v>19</v>
      </c>
      <c r="AQ8" s="80">
        <f t="shared" si="19"/>
        <v>0</v>
      </c>
      <c r="AR8" s="71">
        <f t="shared" ref="AR8:AX8" si="46">SUM(AR9:AR15)</f>
        <v>0</v>
      </c>
      <c r="AS8" s="74">
        <f t="shared" si="46"/>
        <v>0</v>
      </c>
      <c r="AT8" s="81">
        <f t="shared" si="46"/>
        <v>0</v>
      </c>
      <c r="AU8" s="81">
        <f t="shared" si="46"/>
        <v>0</v>
      </c>
      <c r="AV8" s="81">
        <f t="shared" si="46"/>
        <v>0</v>
      </c>
      <c r="AW8" s="81">
        <f t="shared" si="46"/>
        <v>0</v>
      </c>
      <c r="AX8" s="81">
        <f t="shared" si="46"/>
        <v>0</v>
      </c>
      <c r="AY8" s="82"/>
      <c r="AZ8" s="83"/>
      <c r="BA8" s="82">
        <f t="shared" si="32"/>
        <v>0</v>
      </c>
      <c r="BB8" s="71">
        <f>SUM(BB9:BB15)</f>
        <v>0</v>
      </c>
      <c r="BC8" s="72" t="str">
        <f t="shared" si="21"/>
        <v/>
      </c>
      <c r="BD8" s="71">
        <f>SUM(BD9:BD15)</f>
        <v>0</v>
      </c>
      <c r="BE8" s="72" t="str">
        <f t="shared" si="22"/>
        <v/>
      </c>
      <c r="BF8" s="71">
        <f>SUM(BF9:BF15)</f>
        <v>0</v>
      </c>
      <c r="BG8" s="80" t="str">
        <f t="shared" si="23"/>
        <v/>
      </c>
      <c r="BH8" s="71">
        <f t="shared" ref="BH8:BN8" si="47">SUM(BH9:BH15)</f>
        <v>0</v>
      </c>
      <c r="BI8" s="74">
        <f t="shared" si="47"/>
        <v>35000</v>
      </c>
      <c r="BJ8" s="81">
        <f t="shared" si="47"/>
        <v>0</v>
      </c>
      <c r="BK8" s="81">
        <f t="shared" si="47"/>
        <v>0</v>
      </c>
      <c r="BL8" s="81">
        <f t="shared" si="47"/>
        <v>0</v>
      </c>
      <c r="BM8" s="81">
        <f t="shared" si="47"/>
        <v>35000</v>
      </c>
      <c r="BN8" s="81">
        <f t="shared" si="47"/>
        <v>0</v>
      </c>
      <c r="BO8" s="82"/>
      <c r="BP8" s="83"/>
      <c r="BQ8" s="82" t="str">
        <f t="shared" si="25"/>
        <v/>
      </c>
      <c r="BR8" s="85"/>
      <c r="BS8" s="73">
        <f>SUM(BS13:BS20)</f>
        <v>0</v>
      </c>
      <c r="BT8" s="72" t="str">
        <f>IFERROR(BU8/BS8,"")</f>
        <v/>
      </c>
      <c r="BU8" s="73">
        <f>SUM(BU13:BU20)</f>
        <v>0</v>
      </c>
      <c r="BV8" s="72" t="str">
        <f>IFERROR(BW8/BU8,"")</f>
        <v/>
      </c>
      <c r="BW8" s="73">
        <f>SUM(BW13:BW20)</f>
        <v>0</v>
      </c>
      <c r="BX8" s="72" t="str">
        <f>IFERROR(BY8/BW8,"")</f>
        <v/>
      </c>
      <c r="BY8" s="73">
        <f t="shared" ref="BY8:BZ8" si="48">SUM(BY13:BY20)</f>
        <v>0</v>
      </c>
      <c r="BZ8" s="73">
        <f t="shared" si="48"/>
        <v>0</v>
      </c>
      <c r="CA8" s="54">
        <f>SUM(CA11:CA18)</f>
        <v>0</v>
      </c>
      <c r="CB8" s="82"/>
      <c r="CC8" s="82"/>
      <c r="CD8" s="83"/>
      <c r="CE8" s="82" t="str">
        <f t="shared" si="49"/>
        <v/>
      </c>
      <c r="CF8" s="85"/>
      <c r="CG8" s="71"/>
      <c r="CH8" s="71"/>
      <c r="CI8" s="71"/>
      <c r="CJ8" s="71"/>
      <c r="CK8" s="71"/>
      <c r="CL8" s="71"/>
      <c r="CM8" s="82"/>
      <c r="CN8" s="82"/>
      <c r="CO8" s="83"/>
      <c r="CP8" s="82"/>
      <c r="CQ8" s="85"/>
    </row>
    <row r="9" hidden="1" outlineLevel="1">
      <c r="A9" s="87">
        <f t="shared" ref="A9:A14" si="51">A10+1</f>
        <v>45319</v>
      </c>
      <c r="B9" s="91">
        <f t="shared" ref="B9:B11" si="52">S9+AK9+BB9+BS9+CG9</f>
        <v>0</v>
      </c>
      <c r="C9" s="89" t="str">
        <f t="shared" si="10"/>
        <v/>
      </c>
      <c r="D9" s="90">
        <f>V9+AM9+BD9+BU9+CH7</f>
        <v>0</v>
      </c>
      <c r="E9" s="89" t="str">
        <f t="shared" si="11"/>
        <v/>
      </c>
      <c r="F9" s="90">
        <f>X9+AO9+BF9+BW9+CI9</f>
        <v>0</v>
      </c>
      <c r="G9" s="89" t="str">
        <f t="shared" si="12"/>
        <v/>
      </c>
      <c r="H9" s="91">
        <f>Z9+AQ9+BH9+BY9</f>
        <v>0</v>
      </c>
      <c r="I9" s="107">
        <f>AA9+AR9+BI9+BZ9+CK9</f>
        <v>0</v>
      </c>
      <c r="J9" s="75">
        <f t="shared" ref="J9:M9" si="50">AB9+AS9+BJ9</f>
        <v>0</v>
      </c>
      <c r="K9" s="76">
        <f t="shared" si="50"/>
        <v>0</v>
      </c>
      <c r="L9" s="76">
        <f t="shared" si="50"/>
        <v>0</v>
      </c>
      <c r="M9" s="76">
        <f t="shared" si="50"/>
        <v>0</v>
      </c>
      <c r="N9" s="93"/>
      <c r="O9" s="93" t="str">
        <f t="shared" ref="O9:O15" si="55">IFERROR(P9/I9,"")</f>
        <v/>
      </c>
      <c r="P9" s="94">
        <f t="shared" si="28"/>
        <v>0</v>
      </c>
      <c r="Q9" s="90" t="str">
        <f t="shared" si="44"/>
        <v/>
      </c>
      <c r="R9" s="95"/>
      <c r="S9" s="96"/>
      <c r="T9" s="96"/>
      <c r="U9" s="97" t="str">
        <f t="shared" si="29"/>
        <v/>
      </c>
      <c r="V9" s="96"/>
      <c r="W9" s="97" t="str">
        <f t="shared" si="15"/>
        <v/>
      </c>
      <c r="X9" s="96"/>
      <c r="Y9" s="98" t="str">
        <f t="shared" si="16"/>
        <v/>
      </c>
      <c r="Z9" s="96"/>
      <c r="AA9" s="107">
        <f t="shared" ref="AA9:AA15" si="56">SUM(AA10:AA16)</f>
        <v>0</v>
      </c>
      <c r="AB9" s="100"/>
      <c r="AC9" s="100"/>
      <c r="AD9" s="100"/>
      <c r="AE9" s="100"/>
      <c r="AF9" s="100"/>
      <c r="AG9" s="101"/>
      <c r="AH9" s="102"/>
      <c r="AI9" s="101" t="str">
        <f t="shared" si="30"/>
        <v/>
      </c>
      <c r="AJ9" s="103"/>
      <c r="AK9" s="96"/>
      <c r="AL9" s="96"/>
      <c r="AM9" s="97" t="str">
        <f t="shared" si="31"/>
        <v/>
      </c>
      <c r="AN9" s="96"/>
      <c r="AO9" s="97" t="str">
        <f t="shared" si="18"/>
        <v/>
      </c>
      <c r="AP9" s="96"/>
      <c r="AQ9" s="98" t="str">
        <f t="shared" si="19"/>
        <v/>
      </c>
      <c r="AR9" s="96"/>
      <c r="AS9" s="107">
        <f t="shared" ref="AS9:AS15" si="57">SUM(AS10:AS16)</f>
        <v>0</v>
      </c>
      <c r="AT9" s="100"/>
      <c r="AU9" s="100"/>
      <c r="AV9" s="100"/>
      <c r="AW9" s="100"/>
      <c r="AX9" s="100"/>
      <c r="AY9" s="101"/>
      <c r="AZ9" s="102"/>
      <c r="BA9" s="101" t="str">
        <f t="shared" si="32"/>
        <v/>
      </c>
      <c r="BB9" s="96"/>
      <c r="BC9" s="97" t="str">
        <f t="shared" si="21"/>
        <v/>
      </c>
      <c r="BD9" s="96"/>
      <c r="BE9" s="97" t="str">
        <f t="shared" si="22"/>
        <v/>
      </c>
      <c r="BF9" s="96"/>
      <c r="BG9" s="98" t="str">
        <f t="shared" si="23"/>
        <v/>
      </c>
      <c r="BH9" s="96"/>
      <c r="BI9" s="107">
        <f t="shared" ref="BI9:BI15" si="58">SUM(BJ9:BN9)</f>
        <v>0</v>
      </c>
      <c r="BJ9" s="100"/>
      <c r="BK9" s="100"/>
      <c r="BL9" s="100"/>
      <c r="BM9" s="100"/>
      <c r="BN9" s="100"/>
      <c r="BO9" s="101"/>
      <c r="BP9" s="102"/>
      <c r="BQ9" s="101" t="str">
        <f t="shared" si="25"/>
        <v/>
      </c>
      <c r="BR9" s="104"/>
      <c r="BS9" s="108"/>
      <c r="BT9" s="109"/>
      <c r="BU9" s="108"/>
      <c r="BV9" s="109"/>
      <c r="BW9" s="108"/>
      <c r="BX9" s="109"/>
      <c r="BY9" s="108"/>
      <c r="BZ9" s="108"/>
      <c r="CA9" s="101"/>
      <c r="CB9" s="101"/>
      <c r="CC9" s="101"/>
      <c r="CD9" s="102"/>
      <c r="CE9" s="101" t="str">
        <f t="shared" si="49"/>
        <v/>
      </c>
      <c r="CF9" s="104"/>
      <c r="CG9" s="108"/>
      <c r="CH9" s="108"/>
      <c r="CI9" s="108"/>
      <c r="CJ9" s="108"/>
      <c r="CK9" s="108"/>
      <c r="CL9" s="101"/>
      <c r="CM9" s="101"/>
      <c r="CN9" s="101"/>
      <c r="CO9" s="102"/>
      <c r="CP9" s="101"/>
      <c r="CQ9" s="104"/>
    </row>
    <row r="10" hidden="1" outlineLevel="1">
      <c r="A10" s="87">
        <f t="shared" si="51"/>
        <v>45318</v>
      </c>
      <c r="B10" s="91">
        <f t="shared" si="52"/>
        <v>0</v>
      </c>
      <c r="C10" s="89" t="str">
        <f t="shared" si="10"/>
        <v/>
      </c>
      <c r="D10" s="90">
        <f>V10+AM10+BD10+BU10+CH9</f>
        <v>0</v>
      </c>
      <c r="E10" s="89" t="str">
        <f t="shared" si="11"/>
        <v/>
      </c>
      <c r="F10" s="90">
        <f>X10+AO10+BF10+BW10+CI7</f>
        <v>0</v>
      </c>
      <c r="G10" s="89" t="str">
        <f t="shared" si="12"/>
        <v/>
      </c>
      <c r="H10" s="91">
        <f t="shared" ref="H10:I10" si="53">Z10+AQ10+BH10+BY10+CJ10</f>
        <v>0</v>
      </c>
      <c r="I10" s="107">
        <f t="shared" si="53"/>
        <v>0</v>
      </c>
      <c r="J10" s="75">
        <f t="shared" ref="J10:M10" si="54">AB10+AS10+BJ10</f>
        <v>0</v>
      </c>
      <c r="K10" s="76">
        <f t="shared" si="54"/>
        <v>0</v>
      </c>
      <c r="L10" s="76">
        <f t="shared" si="54"/>
        <v>0</v>
      </c>
      <c r="M10" s="76">
        <f t="shared" si="54"/>
        <v>0</v>
      </c>
      <c r="N10" s="93"/>
      <c r="O10" s="93" t="str">
        <f t="shared" si="55"/>
        <v/>
      </c>
      <c r="P10" s="94">
        <f t="shared" si="28"/>
        <v>0</v>
      </c>
      <c r="Q10" s="90" t="str">
        <f t="shared" si="44"/>
        <v/>
      </c>
      <c r="R10" s="95"/>
      <c r="S10" s="96"/>
      <c r="T10" s="96"/>
      <c r="U10" s="97" t="str">
        <f t="shared" si="29"/>
        <v/>
      </c>
      <c r="V10" s="96"/>
      <c r="W10" s="97" t="str">
        <f t="shared" si="15"/>
        <v/>
      </c>
      <c r="X10" s="96"/>
      <c r="Y10" s="98" t="str">
        <f t="shared" si="16"/>
        <v/>
      </c>
      <c r="Z10" s="96"/>
      <c r="AA10" s="107">
        <f t="shared" si="56"/>
        <v>0</v>
      </c>
      <c r="AB10" s="100"/>
      <c r="AC10" s="100"/>
      <c r="AD10" s="100"/>
      <c r="AE10" s="100"/>
      <c r="AF10" s="100"/>
      <c r="AG10" s="101"/>
      <c r="AH10" s="102"/>
      <c r="AI10" s="101" t="str">
        <f t="shared" si="30"/>
        <v/>
      </c>
      <c r="AJ10" s="103"/>
      <c r="AK10" s="96"/>
      <c r="AL10" s="96"/>
      <c r="AM10" s="97" t="str">
        <f t="shared" si="31"/>
        <v/>
      </c>
      <c r="AN10" s="96"/>
      <c r="AO10" s="97" t="str">
        <f t="shared" si="18"/>
        <v/>
      </c>
      <c r="AP10" s="96"/>
      <c r="AQ10" s="98" t="str">
        <f t="shared" si="19"/>
        <v/>
      </c>
      <c r="AR10" s="96"/>
      <c r="AS10" s="107">
        <f t="shared" si="57"/>
        <v>0</v>
      </c>
      <c r="AT10" s="100"/>
      <c r="AU10" s="100"/>
      <c r="AV10" s="100"/>
      <c r="AW10" s="100"/>
      <c r="AX10" s="100"/>
      <c r="AY10" s="101"/>
      <c r="AZ10" s="102"/>
      <c r="BA10" s="101" t="str">
        <f t="shared" si="32"/>
        <v/>
      </c>
      <c r="BB10" s="96"/>
      <c r="BC10" s="97" t="str">
        <f t="shared" si="21"/>
        <v/>
      </c>
      <c r="BD10" s="96"/>
      <c r="BE10" s="97" t="str">
        <f t="shared" si="22"/>
        <v/>
      </c>
      <c r="BF10" s="96"/>
      <c r="BG10" s="98" t="str">
        <f t="shared" si="23"/>
        <v/>
      </c>
      <c r="BH10" s="96"/>
      <c r="BI10" s="107">
        <f t="shared" si="58"/>
        <v>0</v>
      </c>
      <c r="BJ10" s="100"/>
      <c r="BK10" s="100"/>
      <c r="BL10" s="100"/>
      <c r="BM10" s="100"/>
      <c r="BN10" s="100"/>
      <c r="BO10" s="101"/>
      <c r="BP10" s="102"/>
      <c r="BQ10" s="101" t="str">
        <f t="shared" si="25"/>
        <v/>
      </c>
      <c r="BR10" s="104"/>
      <c r="BS10" s="108"/>
      <c r="BT10" s="109"/>
      <c r="BU10" s="108"/>
      <c r="BV10" s="109"/>
      <c r="BW10" s="108"/>
      <c r="BX10" s="109"/>
      <c r="BY10" s="108"/>
      <c r="BZ10" s="108"/>
      <c r="CA10" s="101"/>
      <c r="CB10" s="101"/>
      <c r="CC10" s="101"/>
      <c r="CD10" s="102"/>
      <c r="CE10" s="101" t="str">
        <f t="shared" si="49"/>
        <v/>
      </c>
      <c r="CF10" s="104"/>
      <c r="CG10" s="108"/>
      <c r="CH10" s="108"/>
      <c r="CI10" s="108"/>
      <c r="CJ10" s="108"/>
      <c r="CK10" s="108"/>
      <c r="CL10" s="101"/>
      <c r="CM10" s="101"/>
      <c r="CN10" s="101"/>
      <c r="CO10" s="102"/>
      <c r="CP10" s="101"/>
      <c r="CQ10" s="104"/>
    </row>
    <row r="11" hidden="1" outlineLevel="1">
      <c r="A11" s="87">
        <f t="shared" si="51"/>
        <v>45317</v>
      </c>
      <c r="B11" s="91">
        <f t="shared" si="52"/>
        <v>0</v>
      </c>
      <c r="C11" s="89" t="str">
        <f t="shared" si="10"/>
        <v/>
      </c>
      <c r="D11" s="90">
        <f>V11+AM11+BD11+BU11+CH11</f>
        <v>0</v>
      </c>
      <c r="E11" s="89" t="str">
        <f t="shared" si="11"/>
        <v/>
      </c>
      <c r="F11" s="90">
        <f>X11+AO11+BF11+BW11+CI11</f>
        <v>0</v>
      </c>
      <c r="G11" s="89" t="str">
        <f t="shared" si="12"/>
        <v/>
      </c>
      <c r="H11" s="91">
        <f>Z11+AQ11+BH11+BY11+CK11</f>
        <v>0</v>
      </c>
      <c r="I11" s="107">
        <f t="shared" ref="I11:I15" si="60">AA11+AR11+BI11+BZ11+CK11</f>
        <v>35000</v>
      </c>
      <c r="J11" s="75">
        <f t="shared" ref="J11:M11" si="59">AB11+AS11+BJ11</f>
        <v>0</v>
      </c>
      <c r="K11" s="76">
        <f t="shared" si="59"/>
        <v>0</v>
      </c>
      <c r="L11" s="76">
        <f t="shared" si="59"/>
        <v>0</v>
      </c>
      <c r="M11" s="76">
        <f t="shared" si="59"/>
        <v>35000</v>
      </c>
      <c r="N11" s="93"/>
      <c r="O11" s="110">
        <f t="shared" si="55"/>
        <v>0</v>
      </c>
      <c r="P11" s="94">
        <f t="shared" si="28"/>
        <v>0</v>
      </c>
      <c r="Q11" s="90" t="str">
        <f t="shared" si="44"/>
        <v/>
      </c>
      <c r="R11" s="95"/>
      <c r="S11" s="96"/>
      <c r="T11" s="96"/>
      <c r="U11" s="97" t="str">
        <f t="shared" si="29"/>
        <v/>
      </c>
      <c r="V11" s="96"/>
      <c r="W11" s="97" t="str">
        <f t="shared" si="15"/>
        <v/>
      </c>
      <c r="X11" s="96"/>
      <c r="Y11" s="98" t="str">
        <f t="shared" si="16"/>
        <v/>
      </c>
      <c r="Z11" s="96"/>
      <c r="AA11" s="107">
        <f t="shared" si="56"/>
        <v>0</v>
      </c>
      <c r="AB11" s="100"/>
      <c r="AC11" s="100"/>
      <c r="AD11" s="100"/>
      <c r="AE11" s="100"/>
      <c r="AF11" s="100"/>
      <c r="AG11" s="101"/>
      <c r="AH11" s="102"/>
      <c r="AI11" s="101" t="str">
        <f t="shared" si="30"/>
        <v/>
      </c>
      <c r="AJ11" s="103"/>
      <c r="AK11" s="96"/>
      <c r="AL11" s="96"/>
      <c r="AM11" s="97" t="str">
        <f t="shared" si="31"/>
        <v/>
      </c>
      <c r="AN11" s="96"/>
      <c r="AO11" s="97" t="str">
        <f t="shared" si="18"/>
        <v/>
      </c>
      <c r="AP11" s="96"/>
      <c r="AQ11" s="98" t="str">
        <f t="shared" si="19"/>
        <v/>
      </c>
      <c r="AR11" s="96"/>
      <c r="AS11" s="107">
        <f t="shared" si="57"/>
        <v>0</v>
      </c>
      <c r="AT11" s="100"/>
      <c r="AU11" s="100"/>
      <c r="AV11" s="100"/>
      <c r="AW11" s="100"/>
      <c r="AX11" s="100"/>
      <c r="AY11" s="101"/>
      <c r="AZ11" s="102"/>
      <c r="BA11" s="101" t="str">
        <f t="shared" si="32"/>
        <v/>
      </c>
      <c r="BB11" s="96"/>
      <c r="BC11" s="97" t="str">
        <f t="shared" si="21"/>
        <v/>
      </c>
      <c r="BD11" s="96"/>
      <c r="BE11" s="97" t="str">
        <f t="shared" si="22"/>
        <v/>
      </c>
      <c r="BF11" s="96"/>
      <c r="BG11" s="98" t="str">
        <f t="shared" si="23"/>
        <v/>
      </c>
      <c r="BH11" s="96"/>
      <c r="BI11" s="107">
        <f t="shared" si="58"/>
        <v>35000</v>
      </c>
      <c r="BJ11" s="100"/>
      <c r="BK11" s="100"/>
      <c r="BL11" s="100"/>
      <c r="BM11" s="111">
        <v>35000.0</v>
      </c>
      <c r="BN11" s="100"/>
      <c r="BO11" s="101"/>
      <c r="BP11" s="102"/>
      <c r="BQ11" s="101" t="str">
        <f t="shared" si="25"/>
        <v/>
      </c>
      <c r="BR11" s="104"/>
      <c r="BS11" s="108"/>
      <c r="BT11" s="109"/>
      <c r="BU11" s="108"/>
      <c r="BV11" s="109"/>
      <c r="BW11" s="108"/>
      <c r="BX11" s="109"/>
      <c r="BY11" s="108"/>
      <c r="BZ11" s="108"/>
      <c r="CA11" s="101"/>
      <c r="CB11" s="101"/>
      <c r="CC11" s="101"/>
      <c r="CD11" s="102"/>
      <c r="CE11" s="101" t="str">
        <f t="shared" si="49"/>
        <v/>
      </c>
      <c r="CF11" s="104"/>
      <c r="CG11" s="108"/>
      <c r="CH11" s="108"/>
      <c r="CI11" s="108"/>
      <c r="CJ11" s="108"/>
      <c r="CK11" s="108"/>
      <c r="CL11" s="101"/>
      <c r="CM11" s="101"/>
      <c r="CN11" s="101"/>
      <c r="CO11" s="102"/>
      <c r="CP11" s="101"/>
      <c r="CQ11" s="104"/>
    </row>
    <row r="12" hidden="1" outlineLevel="1">
      <c r="A12" s="87">
        <f t="shared" si="51"/>
        <v>45316</v>
      </c>
      <c r="B12" s="91">
        <f t="shared" ref="B12:B15" si="62">S12+AK12+BB12+BS12</f>
        <v>0</v>
      </c>
      <c r="C12" s="89" t="str">
        <f t="shared" si="10"/>
        <v/>
      </c>
      <c r="D12" s="90">
        <f t="shared" ref="D12:D15" si="63">V12+AM12+BD12+BU12</f>
        <v>0</v>
      </c>
      <c r="E12" s="89" t="str">
        <f t="shared" si="11"/>
        <v/>
      </c>
      <c r="F12" s="90">
        <f t="shared" ref="F12:F15" si="64">X12+AO12+BF12+BW12</f>
        <v>0</v>
      </c>
      <c r="G12" s="89" t="str">
        <f t="shared" si="12"/>
        <v/>
      </c>
      <c r="H12" s="91">
        <f t="shared" ref="H12:H15" si="65">Z12+AQ12+BH12+BY12</f>
        <v>0</v>
      </c>
      <c r="I12" s="107">
        <f t="shared" si="60"/>
        <v>0</v>
      </c>
      <c r="J12" s="75">
        <f t="shared" ref="J12:M12" si="61">AB12+AS12+BJ12</f>
        <v>0</v>
      </c>
      <c r="K12" s="76">
        <f t="shared" si="61"/>
        <v>0</v>
      </c>
      <c r="L12" s="76">
        <f t="shared" si="61"/>
        <v>0</v>
      </c>
      <c r="M12" s="76">
        <f t="shared" si="61"/>
        <v>0</v>
      </c>
      <c r="N12" s="93"/>
      <c r="O12" s="93" t="str">
        <f t="shared" si="55"/>
        <v/>
      </c>
      <c r="P12" s="94">
        <f t="shared" si="28"/>
        <v>0</v>
      </c>
      <c r="Q12" s="90" t="str">
        <f t="shared" si="44"/>
        <v/>
      </c>
      <c r="R12" s="95"/>
      <c r="S12" s="96"/>
      <c r="T12" s="96"/>
      <c r="U12" s="97" t="str">
        <f t="shared" si="29"/>
        <v/>
      </c>
      <c r="V12" s="96"/>
      <c r="W12" s="97" t="str">
        <f t="shared" si="15"/>
        <v/>
      </c>
      <c r="X12" s="96"/>
      <c r="Y12" s="98" t="str">
        <f t="shared" si="16"/>
        <v/>
      </c>
      <c r="Z12" s="96"/>
      <c r="AA12" s="107">
        <f t="shared" si="56"/>
        <v>0</v>
      </c>
      <c r="AB12" s="100"/>
      <c r="AC12" s="100"/>
      <c r="AD12" s="100"/>
      <c r="AE12" s="100"/>
      <c r="AF12" s="100"/>
      <c r="AG12" s="101"/>
      <c r="AH12" s="102"/>
      <c r="AI12" s="101" t="str">
        <f t="shared" si="30"/>
        <v/>
      </c>
      <c r="AJ12" s="103"/>
      <c r="AK12" s="96"/>
      <c r="AL12" s="96"/>
      <c r="AM12" s="97" t="str">
        <f t="shared" si="31"/>
        <v/>
      </c>
      <c r="AN12" s="96"/>
      <c r="AO12" s="97" t="str">
        <f t="shared" si="18"/>
        <v/>
      </c>
      <c r="AP12" s="96"/>
      <c r="AQ12" s="98" t="str">
        <f t="shared" si="19"/>
        <v/>
      </c>
      <c r="AR12" s="96"/>
      <c r="AS12" s="107">
        <f t="shared" si="57"/>
        <v>0</v>
      </c>
      <c r="AT12" s="100"/>
      <c r="AU12" s="100"/>
      <c r="AV12" s="100"/>
      <c r="AW12" s="100"/>
      <c r="AX12" s="100"/>
      <c r="AY12" s="101"/>
      <c r="AZ12" s="102"/>
      <c r="BA12" s="101" t="str">
        <f t="shared" si="32"/>
        <v/>
      </c>
      <c r="BB12" s="96"/>
      <c r="BC12" s="97" t="str">
        <f t="shared" si="21"/>
        <v/>
      </c>
      <c r="BD12" s="96"/>
      <c r="BE12" s="97" t="str">
        <f t="shared" si="22"/>
        <v/>
      </c>
      <c r="BF12" s="96"/>
      <c r="BG12" s="98" t="str">
        <f t="shared" si="23"/>
        <v/>
      </c>
      <c r="BH12" s="96"/>
      <c r="BI12" s="107">
        <f t="shared" si="58"/>
        <v>0</v>
      </c>
      <c r="BJ12" s="100"/>
      <c r="BK12" s="100"/>
      <c r="BL12" s="100"/>
      <c r="BM12" s="100"/>
      <c r="BN12" s="100"/>
      <c r="BO12" s="101"/>
      <c r="BP12" s="102"/>
      <c r="BQ12" s="101" t="str">
        <f t="shared" si="25"/>
        <v/>
      </c>
      <c r="BR12" s="104"/>
      <c r="BS12" s="108"/>
      <c r="BT12" s="109"/>
      <c r="BU12" s="108"/>
      <c r="BV12" s="109"/>
      <c r="BW12" s="108"/>
      <c r="BX12" s="109"/>
      <c r="BY12" s="108"/>
      <c r="BZ12" s="108"/>
      <c r="CA12" s="101"/>
      <c r="CB12" s="101"/>
      <c r="CC12" s="101"/>
      <c r="CD12" s="102"/>
      <c r="CE12" s="101" t="str">
        <f t="shared" si="49"/>
        <v/>
      </c>
      <c r="CF12" s="104"/>
      <c r="CG12" s="108"/>
      <c r="CH12" s="108"/>
      <c r="CI12" s="108"/>
      <c r="CJ12" s="108"/>
      <c r="CK12" s="108"/>
      <c r="CL12" s="101"/>
      <c r="CM12" s="101"/>
      <c r="CN12" s="101"/>
      <c r="CO12" s="102"/>
      <c r="CP12" s="101"/>
      <c r="CQ12" s="104"/>
    </row>
    <row r="13" hidden="1" outlineLevel="1">
      <c r="A13" s="87">
        <f t="shared" si="51"/>
        <v>45315</v>
      </c>
      <c r="B13" s="112">
        <f t="shared" si="62"/>
        <v>184</v>
      </c>
      <c r="C13" s="113">
        <f t="shared" si="10"/>
        <v>0.09339555766</v>
      </c>
      <c r="D13" s="101">
        <f t="shared" si="63"/>
        <v>17.18478261</v>
      </c>
      <c r="E13" s="113">
        <f t="shared" si="11"/>
        <v>0.6161401942</v>
      </c>
      <c r="F13" s="101">
        <f t="shared" si="64"/>
        <v>10.58823529</v>
      </c>
      <c r="G13" s="113">
        <f t="shared" si="12"/>
        <v>0</v>
      </c>
      <c r="H13" s="112">
        <f t="shared" si="65"/>
        <v>0</v>
      </c>
      <c r="I13" s="114">
        <f t="shared" si="60"/>
        <v>0</v>
      </c>
      <c r="J13" s="75">
        <f t="shared" ref="J13:M13" si="66">AB13+AS13+BJ13</f>
        <v>0</v>
      </c>
      <c r="K13" s="76">
        <f t="shared" si="66"/>
        <v>0</v>
      </c>
      <c r="L13" s="76">
        <f t="shared" si="66"/>
        <v>0</v>
      </c>
      <c r="M13" s="76">
        <f t="shared" si="66"/>
        <v>0</v>
      </c>
      <c r="N13" s="93"/>
      <c r="O13" s="93" t="str">
        <f t="shared" si="55"/>
        <v/>
      </c>
      <c r="P13" s="94">
        <f t="shared" si="28"/>
        <v>0</v>
      </c>
      <c r="Q13" s="101">
        <f t="shared" si="44"/>
        <v>0</v>
      </c>
      <c r="R13" s="95"/>
      <c r="S13" s="96">
        <v>92.0</v>
      </c>
      <c r="T13" s="96"/>
      <c r="U13" s="97">
        <f t="shared" si="29"/>
        <v>0.1847826087</v>
      </c>
      <c r="V13" s="96">
        <v>17.0</v>
      </c>
      <c r="W13" s="97">
        <f t="shared" si="15"/>
        <v>0.5882352941</v>
      </c>
      <c r="X13" s="96">
        <v>10.0</v>
      </c>
      <c r="Y13" s="98">
        <f t="shared" si="16"/>
        <v>0</v>
      </c>
      <c r="Z13" s="96"/>
      <c r="AA13" s="107">
        <f t="shared" si="56"/>
        <v>0</v>
      </c>
      <c r="AB13" s="100"/>
      <c r="AC13" s="100"/>
      <c r="AD13" s="100"/>
      <c r="AE13" s="100"/>
      <c r="AF13" s="100"/>
      <c r="AG13" s="101"/>
      <c r="AH13" s="102"/>
      <c r="AI13" s="101">
        <f t="shared" si="30"/>
        <v>0</v>
      </c>
      <c r="AJ13" s="103"/>
      <c r="AK13" s="96">
        <v>92.0</v>
      </c>
      <c r="AL13" s="96"/>
      <c r="AM13" s="97">
        <f t="shared" si="31"/>
        <v>0.1847826087</v>
      </c>
      <c r="AN13" s="96">
        <v>17.0</v>
      </c>
      <c r="AO13" s="97">
        <f t="shared" si="18"/>
        <v>0.5882352941</v>
      </c>
      <c r="AP13" s="96">
        <v>10.0</v>
      </c>
      <c r="AQ13" s="98">
        <f t="shared" si="19"/>
        <v>0</v>
      </c>
      <c r="AR13" s="96"/>
      <c r="AS13" s="107">
        <f t="shared" si="57"/>
        <v>0</v>
      </c>
      <c r="AT13" s="100"/>
      <c r="AU13" s="100"/>
      <c r="AV13" s="100"/>
      <c r="AW13" s="100"/>
      <c r="AX13" s="100"/>
      <c r="AY13" s="101"/>
      <c r="AZ13" s="102"/>
      <c r="BA13" s="101">
        <f t="shared" si="32"/>
        <v>0</v>
      </c>
      <c r="BB13" s="96"/>
      <c r="BC13" s="97" t="str">
        <f t="shared" si="21"/>
        <v/>
      </c>
      <c r="BD13" s="96"/>
      <c r="BE13" s="97" t="str">
        <f t="shared" si="22"/>
        <v/>
      </c>
      <c r="BF13" s="96"/>
      <c r="BG13" s="98" t="str">
        <f t="shared" si="23"/>
        <v/>
      </c>
      <c r="BH13" s="96"/>
      <c r="BI13" s="107">
        <f t="shared" si="58"/>
        <v>0</v>
      </c>
      <c r="BJ13" s="100"/>
      <c r="BK13" s="100"/>
      <c r="BL13" s="100"/>
      <c r="BM13" s="100"/>
      <c r="BN13" s="100"/>
      <c r="BO13" s="101"/>
      <c r="BP13" s="102"/>
      <c r="BQ13" s="101" t="str">
        <f t="shared" si="25"/>
        <v/>
      </c>
      <c r="BR13" s="104"/>
      <c r="BS13" s="108"/>
      <c r="BT13" s="109"/>
      <c r="BU13" s="108"/>
      <c r="BV13" s="109"/>
      <c r="BW13" s="108"/>
      <c r="BX13" s="109"/>
      <c r="BY13" s="108"/>
      <c r="BZ13" s="108"/>
      <c r="CA13" s="101"/>
      <c r="CB13" s="101"/>
      <c r="CC13" s="101"/>
      <c r="CD13" s="102"/>
      <c r="CE13" s="101" t="str">
        <f t="shared" si="49"/>
        <v/>
      </c>
      <c r="CF13" s="104"/>
      <c r="CG13" s="108"/>
      <c r="CH13" s="108"/>
      <c r="CI13" s="108"/>
      <c r="CJ13" s="108"/>
      <c r="CK13" s="108"/>
      <c r="CL13" s="101"/>
      <c r="CM13" s="101"/>
      <c r="CN13" s="101"/>
      <c r="CO13" s="102"/>
      <c r="CP13" s="101"/>
      <c r="CQ13" s="104"/>
    </row>
    <row r="14" hidden="1" outlineLevel="1">
      <c r="A14" s="87">
        <f t="shared" si="51"/>
        <v>45314</v>
      </c>
      <c r="B14" s="112">
        <f t="shared" si="62"/>
        <v>202</v>
      </c>
      <c r="C14" s="113">
        <f t="shared" si="10"/>
        <v>0.03999607882</v>
      </c>
      <c r="D14" s="101">
        <f t="shared" si="63"/>
        <v>8.079207921</v>
      </c>
      <c r="E14" s="113">
        <f t="shared" si="11"/>
        <v>0.9747242647</v>
      </c>
      <c r="F14" s="101">
        <f t="shared" si="64"/>
        <v>7.875</v>
      </c>
      <c r="G14" s="113">
        <f t="shared" si="12"/>
        <v>0</v>
      </c>
      <c r="H14" s="112">
        <f t="shared" si="65"/>
        <v>0</v>
      </c>
      <c r="I14" s="114">
        <f t="shared" si="60"/>
        <v>0</v>
      </c>
      <c r="J14" s="75">
        <f t="shared" ref="J14:M14" si="67">AB14+AS14+BJ14</f>
        <v>0</v>
      </c>
      <c r="K14" s="76">
        <f t="shared" si="67"/>
        <v>0</v>
      </c>
      <c r="L14" s="76">
        <f t="shared" si="67"/>
        <v>0</v>
      </c>
      <c r="M14" s="76">
        <f t="shared" si="67"/>
        <v>0</v>
      </c>
      <c r="N14" s="93"/>
      <c r="O14" s="93" t="str">
        <f t="shared" si="55"/>
        <v/>
      </c>
      <c r="P14" s="94">
        <f t="shared" si="28"/>
        <v>0</v>
      </c>
      <c r="Q14" s="101">
        <f t="shared" si="44"/>
        <v>0</v>
      </c>
      <c r="R14" s="95"/>
      <c r="S14" s="96">
        <v>101.0</v>
      </c>
      <c r="T14" s="96"/>
      <c r="U14" s="97">
        <f t="shared" si="29"/>
        <v>0.07920792079</v>
      </c>
      <c r="V14" s="96">
        <v>8.0</v>
      </c>
      <c r="W14" s="97">
        <f t="shared" si="15"/>
        <v>0.875</v>
      </c>
      <c r="X14" s="96">
        <v>7.0</v>
      </c>
      <c r="Y14" s="98">
        <f t="shared" si="16"/>
        <v>0</v>
      </c>
      <c r="Z14" s="96"/>
      <c r="AA14" s="107">
        <f t="shared" si="56"/>
        <v>0</v>
      </c>
      <c r="AB14" s="100"/>
      <c r="AC14" s="100"/>
      <c r="AD14" s="100"/>
      <c r="AE14" s="100"/>
      <c r="AF14" s="100"/>
      <c r="AG14" s="101"/>
      <c r="AH14" s="102"/>
      <c r="AI14" s="101">
        <f t="shared" si="30"/>
        <v>0</v>
      </c>
      <c r="AJ14" s="103"/>
      <c r="AK14" s="96">
        <v>101.0</v>
      </c>
      <c r="AL14" s="96"/>
      <c r="AM14" s="97">
        <f t="shared" si="31"/>
        <v>0.07920792079</v>
      </c>
      <c r="AN14" s="96">
        <v>8.0</v>
      </c>
      <c r="AO14" s="97">
        <f t="shared" si="18"/>
        <v>0.875</v>
      </c>
      <c r="AP14" s="96">
        <v>7.0</v>
      </c>
      <c r="AQ14" s="98">
        <f t="shared" si="19"/>
        <v>0</v>
      </c>
      <c r="AR14" s="96"/>
      <c r="AS14" s="107">
        <f t="shared" si="57"/>
        <v>0</v>
      </c>
      <c r="AT14" s="100"/>
      <c r="AU14" s="100"/>
      <c r="AV14" s="100"/>
      <c r="AW14" s="100"/>
      <c r="AX14" s="100"/>
      <c r="AY14" s="101"/>
      <c r="AZ14" s="102"/>
      <c r="BA14" s="101">
        <f t="shared" si="32"/>
        <v>0</v>
      </c>
      <c r="BB14" s="96"/>
      <c r="BC14" s="97" t="str">
        <f t="shared" si="21"/>
        <v/>
      </c>
      <c r="BD14" s="96"/>
      <c r="BE14" s="97" t="str">
        <f t="shared" si="22"/>
        <v/>
      </c>
      <c r="BF14" s="96"/>
      <c r="BG14" s="98" t="str">
        <f t="shared" si="23"/>
        <v/>
      </c>
      <c r="BH14" s="96"/>
      <c r="BI14" s="107">
        <f t="shared" si="58"/>
        <v>0</v>
      </c>
      <c r="BJ14" s="100"/>
      <c r="BK14" s="100"/>
      <c r="BL14" s="100"/>
      <c r="BM14" s="100"/>
      <c r="BN14" s="100"/>
      <c r="BO14" s="101"/>
      <c r="BP14" s="102"/>
      <c r="BQ14" s="101" t="str">
        <f t="shared" si="25"/>
        <v/>
      </c>
      <c r="BR14" s="104"/>
      <c r="BS14" s="108"/>
      <c r="BT14" s="109"/>
      <c r="BU14" s="108"/>
      <c r="BV14" s="109"/>
      <c r="BW14" s="108"/>
      <c r="BX14" s="109"/>
      <c r="BY14" s="108"/>
      <c r="BZ14" s="108"/>
      <c r="CA14" s="101"/>
      <c r="CB14" s="101"/>
      <c r="CC14" s="101"/>
      <c r="CD14" s="102"/>
      <c r="CE14" s="101" t="str">
        <f t="shared" si="49"/>
        <v/>
      </c>
      <c r="CF14" s="104"/>
      <c r="CG14" s="108"/>
      <c r="CH14" s="108"/>
      <c r="CI14" s="108"/>
      <c r="CJ14" s="108"/>
      <c r="CK14" s="108"/>
      <c r="CL14" s="101"/>
      <c r="CM14" s="101"/>
      <c r="CN14" s="101"/>
      <c r="CO14" s="102"/>
      <c r="CP14" s="101"/>
      <c r="CQ14" s="104"/>
    </row>
    <row r="15" hidden="1" outlineLevel="1">
      <c r="A15" s="87">
        <f>A17+1</f>
        <v>45313</v>
      </c>
      <c r="B15" s="115">
        <f t="shared" si="62"/>
        <v>154</v>
      </c>
      <c r="C15" s="113">
        <f t="shared" si="10"/>
        <v>0.05920053972</v>
      </c>
      <c r="D15" s="101">
        <f t="shared" si="63"/>
        <v>9.116883117</v>
      </c>
      <c r="E15" s="113">
        <f t="shared" si="11"/>
        <v>0.2437480215</v>
      </c>
      <c r="F15" s="101">
        <f t="shared" si="64"/>
        <v>2.222222222</v>
      </c>
      <c r="G15" s="113">
        <f t="shared" si="12"/>
        <v>0</v>
      </c>
      <c r="H15" s="112">
        <f t="shared" si="65"/>
        <v>0</v>
      </c>
      <c r="I15" s="114">
        <f t="shared" si="60"/>
        <v>0</v>
      </c>
      <c r="J15" s="75">
        <f t="shared" ref="J15:M15" si="68">AB15+AS15+BJ15</f>
        <v>0</v>
      </c>
      <c r="K15" s="76">
        <f t="shared" si="68"/>
        <v>0</v>
      </c>
      <c r="L15" s="76">
        <f t="shared" si="68"/>
        <v>0</v>
      </c>
      <c r="M15" s="76">
        <f t="shared" si="68"/>
        <v>0</v>
      </c>
      <c r="N15" s="93"/>
      <c r="O15" s="93" t="str">
        <f t="shared" si="55"/>
        <v/>
      </c>
      <c r="P15" s="94">
        <f t="shared" si="28"/>
        <v>0</v>
      </c>
      <c r="Q15" s="101">
        <f t="shared" si="44"/>
        <v>0</v>
      </c>
      <c r="R15" s="95"/>
      <c r="S15" s="96">
        <v>77.0</v>
      </c>
      <c r="T15" s="96"/>
      <c r="U15" s="97">
        <f t="shared" si="29"/>
        <v>0.1168831169</v>
      </c>
      <c r="V15" s="96">
        <v>9.0</v>
      </c>
      <c r="W15" s="97">
        <f t="shared" si="15"/>
        <v>0.2222222222</v>
      </c>
      <c r="X15" s="96">
        <v>2.0</v>
      </c>
      <c r="Y15" s="98">
        <f t="shared" si="16"/>
        <v>0</v>
      </c>
      <c r="Z15" s="96"/>
      <c r="AA15" s="107">
        <f t="shared" si="56"/>
        <v>0</v>
      </c>
      <c r="AB15" s="100"/>
      <c r="AC15" s="100"/>
      <c r="AD15" s="100"/>
      <c r="AE15" s="100"/>
      <c r="AF15" s="100"/>
      <c r="AG15" s="101"/>
      <c r="AH15" s="102"/>
      <c r="AI15" s="101">
        <f t="shared" si="30"/>
        <v>0</v>
      </c>
      <c r="AJ15" s="103"/>
      <c r="AK15" s="96">
        <v>77.0</v>
      </c>
      <c r="AL15" s="96"/>
      <c r="AM15" s="97">
        <f t="shared" si="31"/>
        <v>0.1168831169</v>
      </c>
      <c r="AN15" s="96">
        <v>9.0</v>
      </c>
      <c r="AO15" s="97">
        <f t="shared" si="18"/>
        <v>0.2222222222</v>
      </c>
      <c r="AP15" s="96">
        <v>2.0</v>
      </c>
      <c r="AQ15" s="98">
        <f t="shared" si="19"/>
        <v>0</v>
      </c>
      <c r="AR15" s="96"/>
      <c r="AS15" s="107">
        <f t="shared" si="57"/>
        <v>0</v>
      </c>
      <c r="AT15" s="100"/>
      <c r="AU15" s="100"/>
      <c r="AV15" s="100"/>
      <c r="AW15" s="100"/>
      <c r="AX15" s="100"/>
      <c r="AY15" s="101"/>
      <c r="AZ15" s="102"/>
      <c r="BA15" s="101">
        <f t="shared" si="32"/>
        <v>0</v>
      </c>
      <c r="BB15" s="96"/>
      <c r="BC15" s="97" t="str">
        <f t="shared" si="21"/>
        <v/>
      </c>
      <c r="BD15" s="96"/>
      <c r="BE15" s="97" t="str">
        <f t="shared" si="22"/>
        <v/>
      </c>
      <c r="BF15" s="96"/>
      <c r="BG15" s="98" t="str">
        <f t="shared" si="23"/>
        <v/>
      </c>
      <c r="BH15" s="96"/>
      <c r="BI15" s="107">
        <f t="shared" si="58"/>
        <v>0</v>
      </c>
      <c r="BJ15" s="100"/>
      <c r="BK15" s="100"/>
      <c r="BL15" s="100"/>
      <c r="BM15" s="100"/>
      <c r="BN15" s="100"/>
      <c r="BO15" s="101"/>
      <c r="BP15" s="102"/>
      <c r="BQ15" s="101" t="str">
        <f t="shared" si="25"/>
        <v/>
      </c>
      <c r="BR15" s="104"/>
      <c r="BS15" s="96"/>
      <c r="BT15" s="105"/>
      <c r="BU15" s="96"/>
      <c r="BV15" s="105"/>
      <c r="BW15" s="96"/>
      <c r="BX15" s="105"/>
      <c r="BY15" s="96"/>
      <c r="BZ15" s="106"/>
      <c r="CA15" s="101"/>
      <c r="CB15" s="101"/>
      <c r="CC15" s="101"/>
      <c r="CD15" s="102"/>
      <c r="CE15" s="101" t="str">
        <f t="shared" si="49"/>
        <v/>
      </c>
      <c r="CF15" s="104"/>
      <c r="CG15" s="96"/>
      <c r="CH15" s="96"/>
      <c r="CI15" s="96"/>
      <c r="CJ15" s="96"/>
      <c r="CK15" s="106"/>
      <c r="CL15" s="101"/>
      <c r="CM15" s="101"/>
      <c r="CN15" s="101"/>
      <c r="CO15" s="102"/>
      <c r="CP15" s="101"/>
      <c r="CQ15" s="104"/>
    </row>
    <row r="16" collapsed="1">
      <c r="A16" s="70" t="s">
        <v>39</v>
      </c>
      <c r="B16" s="71">
        <f>SUM(B17:B23)</f>
        <v>0</v>
      </c>
      <c r="C16" s="72" t="str">
        <f t="shared" si="10"/>
        <v/>
      </c>
      <c r="D16" s="54">
        <f>SUM(D17:D23)</f>
        <v>0</v>
      </c>
      <c r="E16" s="72" t="str">
        <f t="shared" si="11"/>
        <v/>
      </c>
      <c r="F16" s="54">
        <f>SUM(F17:F23)</f>
        <v>54</v>
      </c>
      <c r="G16" s="72">
        <f t="shared" si="12"/>
        <v>0</v>
      </c>
      <c r="H16" s="73">
        <f t="shared" ref="H16:I16" si="69">SUM(H17:H23)</f>
        <v>0</v>
      </c>
      <c r="I16" s="74">
        <f t="shared" si="69"/>
        <v>37000</v>
      </c>
      <c r="J16" s="75">
        <f t="shared" ref="J16:M16" si="70">AB16+AS16+BJ16</f>
        <v>12000</v>
      </c>
      <c r="K16" s="76">
        <f t="shared" si="70"/>
        <v>0</v>
      </c>
      <c r="L16" s="76">
        <f t="shared" si="70"/>
        <v>25000</v>
      </c>
      <c r="M16" s="76">
        <f t="shared" si="70"/>
        <v>0</v>
      </c>
      <c r="N16" s="77"/>
      <c r="O16" s="77"/>
      <c r="P16" s="78">
        <f t="shared" si="28"/>
        <v>0</v>
      </c>
      <c r="Q16" s="54" t="str">
        <f t="shared" si="44"/>
        <v/>
      </c>
      <c r="R16" s="79">
        <v>3.0</v>
      </c>
      <c r="S16" s="71">
        <f>SUM(S17:S23)</f>
        <v>0</v>
      </c>
      <c r="T16" s="71"/>
      <c r="U16" s="72" t="str">
        <f t="shared" si="29"/>
        <v/>
      </c>
      <c r="V16" s="71">
        <f>SUM(V17:V23)</f>
        <v>0</v>
      </c>
      <c r="W16" s="72" t="str">
        <f t="shared" si="15"/>
        <v/>
      </c>
      <c r="X16" s="71">
        <f>SUM(X17:X23)</f>
        <v>54</v>
      </c>
      <c r="Y16" s="80">
        <f t="shared" si="16"/>
        <v>0</v>
      </c>
      <c r="Z16" s="71">
        <f t="shared" ref="Z16:AF16" si="71">SUM(Z17:Z23)</f>
        <v>0</v>
      </c>
      <c r="AA16" s="74">
        <f t="shared" si="71"/>
        <v>0</v>
      </c>
      <c r="AB16" s="81">
        <f t="shared" si="71"/>
        <v>0</v>
      </c>
      <c r="AC16" s="81">
        <f t="shared" si="71"/>
        <v>0</v>
      </c>
      <c r="AD16" s="81">
        <f t="shared" si="71"/>
        <v>0</v>
      </c>
      <c r="AE16" s="81">
        <f t="shared" si="71"/>
        <v>0</v>
      </c>
      <c r="AF16" s="81">
        <f t="shared" si="71"/>
        <v>0</v>
      </c>
      <c r="AG16" s="82"/>
      <c r="AH16" s="83"/>
      <c r="AI16" s="82" t="str">
        <f t="shared" si="30"/>
        <v/>
      </c>
      <c r="AJ16" s="84"/>
      <c r="AK16" s="71">
        <f>SUM(AK17:AK23)</f>
        <v>0</v>
      </c>
      <c r="AL16" s="71"/>
      <c r="AM16" s="72" t="str">
        <f t="shared" si="31"/>
        <v/>
      </c>
      <c r="AN16" s="71">
        <f>SUM(AN17:AN23)</f>
        <v>0</v>
      </c>
      <c r="AO16" s="72" t="str">
        <f t="shared" si="18"/>
        <v/>
      </c>
      <c r="AP16" s="71">
        <f>SUM(AP17:AP23)</f>
        <v>54</v>
      </c>
      <c r="AQ16" s="80">
        <f t="shared" si="19"/>
        <v>0</v>
      </c>
      <c r="AR16" s="71">
        <f t="shared" ref="AR16:AX16" si="72">SUM(AR17:AR23)</f>
        <v>0</v>
      </c>
      <c r="AS16" s="74">
        <f t="shared" si="72"/>
        <v>0</v>
      </c>
      <c r="AT16" s="81">
        <f t="shared" si="72"/>
        <v>0</v>
      </c>
      <c r="AU16" s="81">
        <f t="shared" si="72"/>
        <v>0</v>
      </c>
      <c r="AV16" s="81">
        <f t="shared" si="72"/>
        <v>0</v>
      </c>
      <c r="AW16" s="81">
        <f t="shared" si="72"/>
        <v>0</v>
      </c>
      <c r="AX16" s="81">
        <f t="shared" si="72"/>
        <v>0</v>
      </c>
      <c r="AY16" s="82"/>
      <c r="AZ16" s="83"/>
      <c r="BA16" s="82" t="str">
        <f t="shared" si="32"/>
        <v/>
      </c>
      <c r="BB16" s="71">
        <f>SUM(BB17:BB23)</f>
        <v>0</v>
      </c>
      <c r="BC16" s="72" t="str">
        <f t="shared" si="21"/>
        <v/>
      </c>
      <c r="BD16" s="71">
        <f>SUM(BD17:BD23)</f>
        <v>0</v>
      </c>
      <c r="BE16" s="72" t="str">
        <f t="shared" si="22"/>
        <v/>
      </c>
      <c r="BF16" s="71">
        <f>SUM(BF17:BF23)</f>
        <v>0</v>
      </c>
      <c r="BG16" s="80" t="str">
        <f t="shared" si="23"/>
        <v/>
      </c>
      <c r="BH16" s="71">
        <f t="shared" ref="BH16:BN16" si="73">SUM(BH17:BH23)</f>
        <v>0</v>
      </c>
      <c r="BI16" s="74">
        <f t="shared" si="73"/>
        <v>37000</v>
      </c>
      <c r="BJ16" s="81">
        <f t="shared" si="73"/>
        <v>12000</v>
      </c>
      <c r="BK16" s="81">
        <f t="shared" si="73"/>
        <v>0</v>
      </c>
      <c r="BL16" s="81">
        <f t="shared" si="73"/>
        <v>25000</v>
      </c>
      <c r="BM16" s="81">
        <f t="shared" si="73"/>
        <v>0</v>
      </c>
      <c r="BN16" s="81">
        <f t="shared" si="73"/>
        <v>0</v>
      </c>
      <c r="BO16" s="82"/>
      <c r="BP16" s="83"/>
      <c r="BQ16" s="82" t="str">
        <f t="shared" si="25"/>
        <v/>
      </c>
      <c r="BR16" s="85"/>
      <c r="BS16" s="71">
        <f>SUM(BS21:BS28)</f>
        <v>0</v>
      </c>
      <c r="BT16" s="72" t="str">
        <f>IFERROR(BU16/BS16,"")</f>
        <v/>
      </c>
      <c r="BU16" s="71">
        <f>SUM(BU21:BU28)</f>
        <v>0</v>
      </c>
      <c r="BV16" s="72" t="str">
        <f>IFERROR(BW16/BU16,"")</f>
        <v/>
      </c>
      <c r="BW16" s="71">
        <f>SUM(BW21:BW28)</f>
        <v>0</v>
      </c>
      <c r="BX16" s="72" t="str">
        <f>IFERROR(BY16/BW16,"")</f>
        <v/>
      </c>
      <c r="BY16" s="71">
        <f t="shared" ref="BY16:BZ16" si="74">SUM(BY21:BY28)</f>
        <v>0</v>
      </c>
      <c r="BZ16" s="86">
        <f t="shared" si="74"/>
        <v>0</v>
      </c>
      <c r="CA16" s="54">
        <f>SUM(CA19:CA26)</f>
        <v>0</v>
      </c>
      <c r="CB16" s="82"/>
      <c r="CC16" s="82"/>
      <c r="CD16" s="83"/>
      <c r="CE16" s="82" t="str">
        <f t="shared" si="49"/>
        <v/>
      </c>
      <c r="CF16" s="85"/>
      <c r="CG16" s="71"/>
      <c r="CH16" s="71"/>
      <c r="CI16" s="71"/>
      <c r="CJ16" s="71"/>
      <c r="CK16" s="71"/>
      <c r="CL16" s="71"/>
      <c r="CM16" s="82"/>
      <c r="CN16" s="82"/>
      <c r="CO16" s="83"/>
      <c r="CP16" s="82"/>
      <c r="CQ16" s="85"/>
    </row>
    <row r="17" hidden="1" outlineLevel="1">
      <c r="A17" s="87">
        <f t="shared" ref="A17:A22" si="76">A18+1</f>
        <v>45312</v>
      </c>
      <c r="B17" s="115">
        <f t="shared" ref="B17:B23" si="77">S17+AK17+BB17+BS17</f>
        <v>0</v>
      </c>
      <c r="C17" s="113" t="str">
        <f t="shared" si="10"/>
        <v/>
      </c>
      <c r="D17" s="101">
        <f t="shared" ref="D17:D23" si="78">V17+AM17+BD17+BU17</f>
        <v>0</v>
      </c>
      <c r="E17" s="113" t="str">
        <f t="shared" si="11"/>
        <v/>
      </c>
      <c r="F17" s="101">
        <f t="shared" ref="F17:F23" si="79">X17+AO17+BF17+BW17</f>
        <v>54</v>
      </c>
      <c r="G17" s="113">
        <f t="shared" si="12"/>
        <v>0</v>
      </c>
      <c r="H17" s="112">
        <f t="shared" ref="H17:H23" si="80">Z17+AQ17+BH17+BY17</f>
        <v>0</v>
      </c>
      <c r="I17" s="114">
        <f t="shared" ref="I17:I23" si="81">AA17+AR17+BI17+BZ17+CK17</f>
        <v>0</v>
      </c>
      <c r="J17" s="75">
        <f t="shared" ref="J17:M17" si="75">AB17+AS17+BJ17</f>
        <v>0</v>
      </c>
      <c r="K17" s="76">
        <f t="shared" si="75"/>
        <v>0</v>
      </c>
      <c r="L17" s="76">
        <f t="shared" si="75"/>
        <v>0</v>
      </c>
      <c r="M17" s="76">
        <f t="shared" si="75"/>
        <v>0</v>
      </c>
      <c r="N17" s="93"/>
      <c r="O17" s="93" t="str">
        <f t="shared" ref="O17:O23" si="83">IFERROR(P17/I17,"")</f>
        <v/>
      </c>
      <c r="P17" s="94">
        <f t="shared" si="28"/>
        <v>0</v>
      </c>
      <c r="Q17" s="101" t="str">
        <f t="shared" si="44"/>
        <v/>
      </c>
      <c r="R17" s="95"/>
      <c r="S17" s="96"/>
      <c r="T17" s="96"/>
      <c r="U17" s="97" t="str">
        <f t="shared" si="29"/>
        <v/>
      </c>
      <c r="V17" s="96"/>
      <c r="W17" s="97" t="str">
        <f t="shared" si="15"/>
        <v/>
      </c>
      <c r="X17" s="96">
        <v>54.0</v>
      </c>
      <c r="Y17" s="98">
        <f t="shared" si="16"/>
        <v>0</v>
      </c>
      <c r="Z17" s="96"/>
      <c r="AA17" s="107">
        <f t="shared" ref="AA17:AA23" si="84">SUM(AA18:AA24)</f>
        <v>0</v>
      </c>
      <c r="AB17" s="100"/>
      <c r="AC17" s="100"/>
      <c r="AD17" s="100"/>
      <c r="AE17" s="100"/>
      <c r="AF17" s="100"/>
      <c r="AG17" s="101"/>
      <c r="AH17" s="102"/>
      <c r="AI17" s="101" t="str">
        <f t="shared" si="30"/>
        <v/>
      </c>
      <c r="AJ17" s="103"/>
      <c r="AK17" s="96"/>
      <c r="AL17" s="96"/>
      <c r="AM17" s="97" t="str">
        <f t="shared" si="31"/>
        <v/>
      </c>
      <c r="AN17" s="96"/>
      <c r="AO17" s="97" t="str">
        <f t="shared" si="18"/>
        <v/>
      </c>
      <c r="AP17" s="96">
        <v>54.0</v>
      </c>
      <c r="AQ17" s="98">
        <f t="shared" si="19"/>
        <v>0</v>
      </c>
      <c r="AR17" s="96"/>
      <c r="AS17" s="107">
        <f t="shared" ref="AS17:AS23" si="85">SUM(AS18:AS24)</f>
        <v>0</v>
      </c>
      <c r="AT17" s="100"/>
      <c r="AU17" s="100"/>
      <c r="AV17" s="100"/>
      <c r="AW17" s="100"/>
      <c r="AX17" s="100"/>
      <c r="AY17" s="101"/>
      <c r="AZ17" s="102"/>
      <c r="BA17" s="101" t="str">
        <f t="shared" si="32"/>
        <v/>
      </c>
      <c r="BB17" s="96"/>
      <c r="BC17" s="97" t="str">
        <f t="shared" si="21"/>
        <v/>
      </c>
      <c r="BD17" s="96"/>
      <c r="BE17" s="97" t="str">
        <f t="shared" si="22"/>
        <v/>
      </c>
      <c r="BF17" s="96"/>
      <c r="BG17" s="98" t="str">
        <f t="shared" si="23"/>
        <v/>
      </c>
      <c r="BH17" s="96"/>
      <c r="BI17" s="107">
        <f t="shared" ref="BI17:BI23" si="86">SUM(BJ17:BN17)</f>
        <v>0</v>
      </c>
      <c r="BJ17" s="100"/>
      <c r="BK17" s="100"/>
      <c r="BL17" s="100"/>
      <c r="BM17" s="100"/>
      <c r="BN17" s="100"/>
      <c r="BO17" s="101"/>
      <c r="BP17" s="102"/>
      <c r="BQ17" s="101" t="str">
        <f t="shared" si="25"/>
        <v/>
      </c>
      <c r="BR17" s="104"/>
      <c r="BS17" s="96"/>
      <c r="BT17" s="105"/>
      <c r="BU17" s="96"/>
      <c r="BV17" s="105"/>
      <c r="BW17" s="96"/>
      <c r="BX17" s="105"/>
      <c r="BY17" s="96"/>
      <c r="BZ17" s="106"/>
      <c r="CA17" s="101"/>
      <c r="CB17" s="101"/>
      <c r="CC17" s="101"/>
      <c r="CD17" s="102"/>
      <c r="CE17" s="101" t="str">
        <f t="shared" si="49"/>
        <v/>
      </c>
      <c r="CF17" s="104"/>
      <c r="CG17" s="96"/>
      <c r="CH17" s="96"/>
      <c r="CI17" s="96"/>
      <c r="CJ17" s="96"/>
      <c r="CK17" s="106"/>
      <c r="CL17" s="101"/>
      <c r="CM17" s="101"/>
      <c r="CN17" s="101"/>
      <c r="CO17" s="102"/>
      <c r="CP17" s="101"/>
      <c r="CQ17" s="104"/>
    </row>
    <row r="18" hidden="1" outlineLevel="1">
      <c r="A18" s="87">
        <f t="shared" si="76"/>
        <v>45311</v>
      </c>
      <c r="B18" s="115">
        <f t="shared" si="77"/>
        <v>0</v>
      </c>
      <c r="C18" s="113" t="str">
        <f t="shared" si="10"/>
        <v/>
      </c>
      <c r="D18" s="101">
        <f t="shared" si="78"/>
        <v>0</v>
      </c>
      <c r="E18" s="113" t="str">
        <f t="shared" si="11"/>
        <v/>
      </c>
      <c r="F18" s="101">
        <f t="shared" si="79"/>
        <v>0</v>
      </c>
      <c r="G18" s="113" t="str">
        <f t="shared" si="12"/>
        <v/>
      </c>
      <c r="H18" s="112">
        <f t="shared" si="80"/>
        <v>0</v>
      </c>
      <c r="I18" s="114">
        <f t="shared" si="81"/>
        <v>0</v>
      </c>
      <c r="J18" s="75">
        <f t="shared" ref="J18:M18" si="82">AB18+AS18+BJ18</f>
        <v>0</v>
      </c>
      <c r="K18" s="76">
        <f t="shared" si="82"/>
        <v>0</v>
      </c>
      <c r="L18" s="76">
        <f t="shared" si="82"/>
        <v>0</v>
      </c>
      <c r="M18" s="76">
        <f t="shared" si="82"/>
        <v>0</v>
      </c>
      <c r="N18" s="93"/>
      <c r="O18" s="93" t="str">
        <f t="shared" si="83"/>
        <v/>
      </c>
      <c r="P18" s="94">
        <f t="shared" si="28"/>
        <v>0</v>
      </c>
      <c r="Q18" s="101" t="str">
        <f t="shared" si="44"/>
        <v/>
      </c>
      <c r="R18" s="95"/>
      <c r="S18" s="96"/>
      <c r="T18" s="96"/>
      <c r="U18" s="97" t="str">
        <f t="shared" si="29"/>
        <v/>
      </c>
      <c r="V18" s="96"/>
      <c r="W18" s="97" t="str">
        <f t="shared" si="15"/>
        <v/>
      </c>
      <c r="X18" s="96"/>
      <c r="Y18" s="98" t="str">
        <f t="shared" si="16"/>
        <v/>
      </c>
      <c r="Z18" s="96"/>
      <c r="AA18" s="107">
        <f t="shared" si="84"/>
        <v>0</v>
      </c>
      <c r="AB18" s="100"/>
      <c r="AC18" s="100"/>
      <c r="AD18" s="100"/>
      <c r="AE18" s="100"/>
      <c r="AF18" s="100"/>
      <c r="AG18" s="101"/>
      <c r="AH18" s="102"/>
      <c r="AI18" s="101" t="str">
        <f t="shared" si="30"/>
        <v/>
      </c>
      <c r="AJ18" s="103"/>
      <c r="AK18" s="96"/>
      <c r="AL18" s="96"/>
      <c r="AM18" s="97" t="str">
        <f t="shared" si="31"/>
        <v/>
      </c>
      <c r="AN18" s="96"/>
      <c r="AO18" s="97" t="str">
        <f t="shared" si="18"/>
        <v/>
      </c>
      <c r="AP18" s="96"/>
      <c r="AQ18" s="98" t="str">
        <f t="shared" si="19"/>
        <v/>
      </c>
      <c r="AR18" s="96"/>
      <c r="AS18" s="107">
        <f t="shared" si="85"/>
        <v>0</v>
      </c>
      <c r="AT18" s="100"/>
      <c r="AU18" s="100"/>
      <c r="AV18" s="100"/>
      <c r="AW18" s="100"/>
      <c r="AX18" s="100"/>
      <c r="AY18" s="101"/>
      <c r="AZ18" s="102"/>
      <c r="BA18" s="101" t="str">
        <f t="shared" si="32"/>
        <v/>
      </c>
      <c r="BB18" s="96"/>
      <c r="BC18" s="97" t="str">
        <f t="shared" si="21"/>
        <v/>
      </c>
      <c r="BD18" s="96"/>
      <c r="BE18" s="97" t="str">
        <f t="shared" si="22"/>
        <v/>
      </c>
      <c r="BF18" s="96"/>
      <c r="BG18" s="98" t="str">
        <f t="shared" si="23"/>
        <v/>
      </c>
      <c r="BH18" s="96"/>
      <c r="BI18" s="107">
        <f t="shared" si="86"/>
        <v>0</v>
      </c>
      <c r="BJ18" s="100"/>
      <c r="BK18" s="100"/>
      <c r="BL18" s="100"/>
      <c r="BM18" s="100"/>
      <c r="BN18" s="100"/>
      <c r="BO18" s="101"/>
      <c r="BP18" s="102"/>
      <c r="BQ18" s="101" t="str">
        <f t="shared" si="25"/>
        <v/>
      </c>
      <c r="BR18" s="104"/>
      <c r="BS18" s="96"/>
      <c r="BT18" s="105"/>
      <c r="BU18" s="96"/>
      <c r="BV18" s="105"/>
      <c r="BW18" s="96"/>
      <c r="BX18" s="105"/>
      <c r="BY18" s="96"/>
      <c r="BZ18" s="106"/>
      <c r="CA18" s="101"/>
      <c r="CB18" s="101"/>
      <c r="CC18" s="101"/>
      <c r="CD18" s="102"/>
      <c r="CE18" s="101" t="str">
        <f t="shared" si="49"/>
        <v/>
      </c>
      <c r="CF18" s="104"/>
      <c r="CG18" s="96"/>
      <c r="CH18" s="96"/>
      <c r="CI18" s="96"/>
      <c r="CJ18" s="96"/>
      <c r="CK18" s="106"/>
      <c r="CL18" s="101"/>
      <c r="CM18" s="101"/>
      <c r="CN18" s="101"/>
      <c r="CO18" s="102"/>
      <c r="CP18" s="101"/>
      <c r="CQ18" s="104"/>
    </row>
    <row r="19" hidden="1" outlineLevel="1">
      <c r="A19" s="87">
        <f t="shared" si="76"/>
        <v>45310</v>
      </c>
      <c r="B19" s="115">
        <f t="shared" si="77"/>
        <v>0</v>
      </c>
      <c r="C19" s="113" t="str">
        <f t="shared" si="10"/>
        <v/>
      </c>
      <c r="D19" s="101">
        <f t="shared" si="78"/>
        <v>0</v>
      </c>
      <c r="E19" s="113" t="str">
        <f t="shared" si="11"/>
        <v/>
      </c>
      <c r="F19" s="101">
        <f t="shared" si="79"/>
        <v>0</v>
      </c>
      <c r="G19" s="113" t="str">
        <f t="shared" si="12"/>
        <v/>
      </c>
      <c r="H19" s="112">
        <f t="shared" si="80"/>
        <v>0</v>
      </c>
      <c r="I19" s="114">
        <f t="shared" si="81"/>
        <v>25000</v>
      </c>
      <c r="J19" s="75">
        <f t="shared" ref="J19:M19" si="87">AB19+AS19+BJ19</f>
        <v>0</v>
      </c>
      <c r="K19" s="76">
        <f t="shared" si="87"/>
        <v>0</v>
      </c>
      <c r="L19" s="76">
        <f t="shared" si="87"/>
        <v>25000</v>
      </c>
      <c r="M19" s="76">
        <f t="shared" si="87"/>
        <v>0</v>
      </c>
      <c r="N19" s="93"/>
      <c r="O19" s="116">
        <f t="shared" si="83"/>
        <v>0</v>
      </c>
      <c r="P19" s="94">
        <f t="shared" si="28"/>
        <v>0</v>
      </c>
      <c r="Q19" s="101" t="str">
        <f t="shared" si="44"/>
        <v/>
      </c>
      <c r="R19" s="95"/>
      <c r="S19" s="96"/>
      <c r="T19" s="96"/>
      <c r="U19" s="97" t="str">
        <f t="shared" si="29"/>
        <v/>
      </c>
      <c r="V19" s="96"/>
      <c r="W19" s="97" t="str">
        <f t="shared" si="15"/>
        <v/>
      </c>
      <c r="X19" s="96"/>
      <c r="Y19" s="98" t="str">
        <f t="shared" si="16"/>
        <v/>
      </c>
      <c r="Z19" s="96"/>
      <c r="AA19" s="107">
        <f t="shared" si="84"/>
        <v>0</v>
      </c>
      <c r="AB19" s="100"/>
      <c r="AC19" s="100"/>
      <c r="AD19" s="100"/>
      <c r="AE19" s="100"/>
      <c r="AF19" s="100"/>
      <c r="AG19" s="101"/>
      <c r="AH19" s="102"/>
      <c r="AI19" s="101" t="str">
        <f t="shared" si="30"/>
        <v/>
      </c>
      <c r="AJ19" s="103"/>
      <c r="AK19" s="96"/>
      <c r="AL19" s="96"/>
      <c r="AM19" s="97" t="str">
        <f t="shared" si="31"/>
        <v/>
      </c>
      <c r="AN19" s="96"/>
      <c r="AO19" s="97" t="str">
        <f t="shared" si="18"/>
        <v/>
      </c>
      <c r="AP19" s="96"/>
      <c r="AQ19" s="98" t="str">
        <f t="shared" si="19"/>
        <v/>
      </c>
      <c r="AR19" s="96"/>
      <c r="AS19" s="107">
        <f t="shared" si="85"/>
        <v>0</v>
      </c>
      <c r="AT19" s="100"/>
      <c r="AU19" s="100"/>
      <c r="AV19" s="100"/>
      <c r="AW19" s="100"/>
      <c r="AX19" s="100"/>
      <c r="AY19" s="101"/>
      <c r="AZ19" s="102"/>
      <c r="BA19" s="101" t="str">
        <f t="shared" si="32"/>
        <v/>
      </c>
      <c r="BB19" s="96"/>
      <c r="BC19" s="97" t="str">
        <f t="shared" si="21"/>
        <v/>
      </c>
      <c r="BD19" s="96"/>
      <c r="BE19" s="97" t="str">
        <f t="shared" si="22"/>
        <v/>
      </c>
      <c r="BF19" s="96"/>
      <c r="BG19" s="98" t="str">
        <f t="shared" si="23"/>
        <v/>
      </c>
      <c r="BH19" s="96"/>
      <c r="BI19" s="107">
        <f t="shared" si="86"/>
        <v>25000</v>
      </c>
      <c r="BJ19" s="111"/>
      <c r="BK19" s="100"/>
      <c r="BL19" s="111">
        <v>25000.0</v>
      </c>
      <c r="BM19" s="100"/>
      <c r="BN19" s="100"/>
      <c r="BO19" s="101"/>
      <c r="BP19" s="102"/>
      <c r="BQ19" s="101" t="str">
        <f t="shared" si="25"/>
        <v/>
      </c>
      <c r="BR19" s="104"/>
      <c r="BS19" s="96"/>
      <c r="BT19" s="105"/>
      <c r="BU19" s="96"/>
      <c r="BV19" s="105"/>
      <c r="BW19" s="96"/>
      <c r="BX19" s="105"/>
      <c r="BY19" s="96"/>
      <c r="BZ19" s="106"/>
      <c r="CA19" s="101"/>
      <c r="CB19" s="101"/>
      <c r="CC19" s="101"/>
      <c r="CD19" s="102"/>
      <c r="CE19" s="101" t="str">
        <f t="shared" si="49"/>
        <v/>
      </c>
      <c r="CF19" s="104"/>
      <c r="CG19" s="96"/>
      <c r="CH19" s="96"/>
      <c r="CI19" s="96"/>
      <c r="CJ19" s="96"/>
      <c r="CK19" s="106"/>
      <c r="CL19" s="101"/>
      <c r="CM19" s="101"/>
      <c r="CN19" s="101"/>
      <c r="CO19" s="102"/>
      <c r="CP19" s="101"/>
      <c r="CQ19" s="104"/>
    </row>
    <row r="20" hidden="1" outlineLevel="1">
      <c r="A20" s="87">
        <f t="shared" si="76"/>
        <v>45309</v>
      </c>
      <c r="B20" s="115">
        <f t="shared" si="77"/>
        <v>0</v>
      </c>
      <c r="C20" s="113" t="str">
        <f t="shared" si="10"/>
        <v/>
      </c>
      <c r="D20" s="101">
        <f t="shared" si="78"/>
        <v>0</v>
      </c>
      <c r="E20" s="113" t="str">
        <f t="shared" si="11"/>
        <v/>
      </c>
      <c r="F20" s="101">
        <f t="shared" si="79"/>
        <v>0</v>
      </c>
      <c r="G20" s="113" t="str">
        <f t="shared" si="12"/>
        <v/>
      </c>
      <c r="H20" s="112">
        <f t="shared" si="80"/>
        <v>0</v>
      </c>
      <c r="I20" s="114">
        <f t="shared" si="81"/>
        <v>0</v>
      </c>
      <c r="J20" s="75">
        <f t="shared" ref="J20:M20" si="88">AB20+AS20+BJ20</f>
        <v>0</v>
      </c>
      <c r="K20" s="76">
        <f t="shared" si="88"/>
        <v>0</v>
      </c>
      <c r="L20" s="76">
        <f t="shared" si="88"/>
        <v>0</v>
      </c>
      <c r="M20" s="76">
        <f t="shared" si="88"/>
        <v>0</v>
      </c>
      <c r="N20" s="93"/>
      <c r="O20" s="93" t="str">
        <f t="shared" si="83"/>
        <v/>
      </c>
      <c r="P20" s="94">
        <f t="shared" si="28"/>
        <v>0</v>
      </c>
      <c r="Q20" s="101" t="str">
        <f t="shared" si="44"/>
        <v/>
      </c>
      <c r="R20" s="95"/>
      <c r="S20" s="96"/>
      <c r="T20" s="96"/>
      <c r="U20" s="97" t="str">
        <f t="shared" si="29"/>
        <v/>
      </c>
      <c r="V20" s="96"/>
      <c r="W20" s="97" t="str">
        <f t="shared" si="15"/>
        <v/>
      </c>
      <c r="X20" s="96"/>
      <c r="Y20" s="98" t="str">
        <f t="shared" si="16"/>
        <v/>
      </c>
      <c r="Z20" s="96"/>
      <c r="AA20" s="107">
        <f t="shared" si="84"/>
        <v>0</v>
      </c>
      <c r="AB20" s="100"/>
      <c r="AC20" s="100"/>
      <c r="AD20" s="100"/>
      <c r="AE20" s="100"/>
      <c r="AF20" s="100"/>
      <c r="AG20" s="101"/>
      <c r="AH20" s="102"/>
      <c r="AI20" s="101" t="str">
        <f t="shared" si="30"/>
        <v/>
      </c>
      <c r="AJ20" s="103"/>
      <c r="AK20" s="96"/>
      <c r="AL20" s="96"/>
      <c r="AM20" s="97" t="str">
        <f t="shared" si="31"/>
        <v/>
      </c>
      <c r="AN20" s="96"/>
      <c r="AO20" s="97" t="str">
        <f t="shared" si="18"/>
        <v/>
      </c>
      <c r="AP20" s="96"/>
      <c r="AQ20" s="98" t="str">
        <f t="shared" si="19"/>
        <v/>
      </c>
      <c r="AR20" s="96"/>
      <c r="AS20" s="107">
        <f t="shared" si="85"/>
        <v>0</v>
      </c>
      <c r="AT20" s="100"/>
      <c r="AU20" s="100"/>
      <c r="AV20" s="100"/>
      <c r="AW20" s="100"/>
      <c r="AX20" s="100"/>
      <c r="AY20" s="101"/>
      <c r="AZ20" s="102"/>
      <c r="BA20" s="101" t="str">
        <f t="shared" si="32"/>
        <v/>
      </c>
      <c r="BB20" s="96"/>
      <c r="BC20" s="97" t="str">
        <f t="shared" si="21"/>
        <v/>
      </c>
      <c r="BD20" s="96"/>
      <c r="BE20" s="97" t="str">
        <f t="shared" si="22"/>
        <v/>
      </c>
      <c r="BF20" s="96"/>
      <c r="BG20" s="98" t="str">
        <f t="shared" si="23"/>
        <v/>
      </c>
      <c r="BH20" s="96"/>
      <c r="BI20" s="107">
        <f t="shared" si="86"/>
        <v>0</v>
      </c>
      <c r="BJ20" s="100"/>
      <c r="BK20" s="100"/>
      <c r="BL20" s="100"/>
      <c r="BM20" s="100"/>
      <c r="BN20" s="100"/>
      <c r="BO20" s="101"/>
      <c r="BP20" s="102"/>
      <c r="BQ20" s="101" t="str">
        <f t="shared" si="25"/>
        <v/>
      </c>
      <c r="BR20" s="104"/>
      <c r="BS20" s="96"/>
      <c r="BT20" s="105"/>
      <c r="BU20" s="96"/>
      <c r="BV20" s="105"/>
      <c r="BW20" s="96"/>
      <c r="BX20" s="105"/>
      <c r="BY20" s="96"/>
      <c r="BZ20" s="106"/>
      <c r="CA20" s="101"/>
      <c r="CB20" s="101"/>
      <c r="CC20" s="101"/>
      <c r="CD20" s="102"/>
      <c r="CE20" s="101" t="str">
        <f t="shared" si="49"/>
        <v/>
      </c>
      <c r="CF20" s="104"/>
      <c r="CG20" s="96"/>
      <c r="CH20" s="96"/>
      <c r="CI20" s="96"/>
      <c r="CJ20" s="96"/>
      <c r="CK20" s="106"/>
      <c r="CL20" s="101"/>
      <c r="CM20" s="101"/>
      <c r="CN20" s="101"/>
      <c r="CO20" s="102"/>
      <c r="CP20" s="101"/>
      <c r="CQ20" s="104"/>
    </row>
    <row r="21" hidden="1" outlineLevel="1">
      <c r="A21" s="87">
        <f t="shared" si="76"/>
        <v>45308</v>
      </c>
      <c r="B21" s="115">
        <f t="shared" si="77"/>
        <v>0</v>
      </c>
      <c r="C21" s="113" t="str">
        <f t="shared" si="10"/>
        <v/>
      </c>
      <c r="D21" s="101">
        <f t="shared" si="78"/>
        <v>0</v>
      </c>
      <c r="E21" s="113" t="str">
        <f t="shared" si="11"/>
        <v/>
      </c>
      <c r="F21" s="101">
        <f t="shared" si="79"/>
        <v>0</v>
      </c>
      <c r="G21" s="113" t="str">
        <f t="shared" si="12"/>
        <v/>
      </c>
      <c r="H21" s="112">
        <f t="shared" si="80"/>
        <v>0</v>
      </c>
      <c r="I21" s="114">
        <f t="shared" si="81"/>
        <v>0</v>
      </c>
      <c r="J21" s="75">
        <f t="shared" ref="J21:M21" si="89">AB21+AS21+BJ21</f>
        <v>0</v>
      </c>
      <c r="K21" s="76">
        <f t="shared" si="89"/>
        <v>0</v>
      </c>
      <c r="L21" s="76">
        <f t="shared" si="89"/>
        <v>0</v>
      </c>
      <c r="M21" s="76">
        <f t="shared" si="89"/>
        <v>0</v>
      </c>
      <c r="N21" s="93"/>
      <c r="O21" s="93" t="str">
        <f t="shared" si="83"/>
        <v/>
      </c>
      <c r="P21" s="94">
        <f t="shared" si="28"/>
        <v>0</v>
      </c>
      <c r="Q21" s="101" t="str">
        <f t="shared" si="44"/>
        <v/>
      </c>
      <c r="R21" s="95"/>
      <c r="S21" s="96"/>
      <c r="T21" s="96"/>
      <c r="U21" s="97" t="str">
        <f t="shared" si="29"/>
        <v/>
      </c>
      <c r="V21" s="96"/>
      <c r="W21" s="97" t="str">
        <f t="shared" si="15"/>
        <v/>
      </c>
      <c r="X21" s="96"/>
      <c r="Y21" s="98" t="str">
        <f t="shared" si="16"/>
        <v/>
      </c>
      <c r="Z21" s="96"/>
      <c r="AA21" s="107">
        <f t="shared" si="84"/>
        <v>0</v>
      </c>
      <c r="AB21" s="100"/>
      <c r="AC21" s="100"/>
      <c r="AD21" s="100"/>
      <c r="AE21" s="100"/>
      <c r="AF21" s="100"/>
      <c r="AG21" s="101"/>
      <c r="AH21" s="102"/>
      <c r="AI21" s="101" t="str">
        <f t="shared" si="30"/>
        <v/>
      </c>
      <c r="AJ21" s="103"/>
      <c r="AK21" s="96"/>
      <c r="AL21" s="96"/>
      <c r="AM21" s="97" t="str">
        <f t="shared" si="31"/>
        <v/>
      </c>
      <c r="AN21" s="96"/>
      <c r="AO21" s="97" t="str">
        <f t="shared" si="18"/>
        <v/>
      </c>
      <c r="AP21" s="96"/>
      <c r="AQ21" s="98" t="str">
        <f t="shared" si="19"/>
        <v/>
      </c>
      <c r="AR21" s="96"/>
      <c r="AS21" s="107">
        <f t="shared" si="85"/>
        <v>0</v>
      </c>
      <c r="AT21" s="100"/>
      <c r="AU21" s="100"/>
      <c r="AV21" s="100"/>
      <c r="AW21" s="100"/>
      <c r="AX21" s="100"/>
      <c r="AY21" s="101"/>
      <c r="AZ21" s="102"/>
      <c r="BA21" s="101" t="str">
        <f t="shared" si="32"/>
        <v/>
      </c>
      <c r="BB21" s="96"/>
      <c r="BC21" s="97" t="str">
        <f t="shared" si="21"/>
        <v/>
      </c>
      <c r="BD21" s="96"/>
      <c r="BE21" s="97" t="str">
        <f t="shared" si="22"/>
        <v/>
      </c>
      <c r="BF21" s="96"/>
      <c r="BG21" s="98" t="str">
        <f t="shared" si="23"/>
        <v/>
      </c>
      <c r="BH21" s="96"/>
      <c r="BI21" s="107">
        <f t="shared" si="86"/>
        <v>0</v>
      </c>
      <c r="BJ21" s="100"/>
      <c r="BK21" s="100"/>
      <c r="BL21" s="100"/>
      <c r="BM21" s="100"/>
      <c r="BN21" s="100"/>
      <c r="BO21" s="101"/>
      <c r="BP21" s="102"/>
      <c r="BQ21" s="101" t="str">
        <f t="shared" si="25"/>
        <v/>
      </c>
      <c r="BR21" s="104"/>
      <c r="BS21" s="96"/>
      <c r="BT21" s="105"/>
      <c r="BU21" s="96"/>
      <c r="BV21" s="105"/>
      <c r="BW21" s="96"/>
      <c r="BX21" s="105"/>
      <c r="BY21" s="96"/>
      <c r="BZ21" s="106"/>
      <c r="CA21" s="101"/>
      <c r="CB21" s="101"/>
      <c r="CC21" s="101"/>
      <c r="CD21" s="102"/>
      <c r="CE21" s="101" t="str">
        <f t="shared" si="49"/>
        <v/>
      </c>
      <c r="CF21" s="104"/>
      <c r="CG21" s="96"/>
      <c r="CH21" s="96"/>
      <c r="CI21" s="96"/>
      <c r="CJ21" s="96"/>
      <c r="CK21" s="106"/>
      <c r="CL21" s="101"/>
      <c r="CM21" s="101"/>
      <c r="CN21" s="101"/>
      <c r="CO21" s="102"/>
      <c r="CP21" s="101"/>
      <c r="CQ21" s="104"/>
    </row>
    <row r="22" hidden="1" outlineLevel="1">
      <c r="A22" s="87">
        <f t="shared" si="76"/>
        <v>45307</v>
      </c>
      <c r="B22" s="115">
        <f t="shared" si="77"/>
        <v>0</v>
      </c>
      <c r="C22" s="113" t="str">
        <f t="shared" si="10"/>
        <v/>
      </c>
      <c r="D22" s="101">
        <f t="shared" si="78"/>
        <v>0</v>
      </c>
      <c r="E22" s="113" t="str">
        <f t="shared" si="11"/>
        <v/>
      </c>
      <c r="F22" s="101">
        <f t="shared" si="79"/>
        <v>0</v>
      </c>
      <c r="G22" s="113" t="str">
        <f t="shared" si="12"/>
        <v/>
      </c>
      <c r="H22" s="112">
        <f t="shared" si="80"/>
        <v>0</v>
      </c>
      <c r="I22" s="114">
        <f t="shared" si="81"/>
        <v>6000</v>
      </c>
      <c r="J22" s="75">
        <f t="shared" ref="J22:M22" si="90">AB22+AS22+BJ22</f>
        <v>6000</v>
      </c>
      <c r="K22" s="76">
        <f t="shared" si="90"/>
        <v>0</v>
      </c>
      <c r="L22" s="76">
        <f t="shared" si="90"/>
        <v>0</v>
      </c>
      <c r="M22" s="76">
        <f t="shared" si="90"/>
        <v>0</v>
      </c>
      <c r="N22" s="93"/>
      <c r="O22" s="116">
        <f t="shared" si="83"/>
        <v>0</v>
      </c>
      <c r="P22" s="94">
        <f t="shared" si="28"/>
        <v>0</v>
      </c>
      <c r="Q22" s="101" t="str">
        <f t="shared" si="44"/>
        <v/>
      </c>
      <c r="R22" s="95"/>
      <c r="S22" s="96"/>
      <c r="T22" s="96"/>
      <c r="U22" s="97" t="str">
        <f t="shared" si="29"/>
        <v/>
      </c>
      <c r="V22" s="96"/>
      <c r="W22" s="97" t="str">
        <f t="shared" si="15"/>
        <v/>
      </c>
      <c r="X22" s="96"/>
      <c r="Y22" s="98" t="str">
        <f t="shared" si="16"/>
        <v/>
      </c>
      <c r="Z22" s="96"/>
      <c r="AA22" s="107">
        <f t="shared" si="84"/>
        <v>0</v>
      </c>
      <c r="AB22" s="100"/>
      <c r="AC22" s="100"/>
      <c r="AD22" s="100"/>
      <c r="AE22" s="100"/>
      <c r="AF22" s="100"/>
      <c r="AG22" s="101"/>
      <c r="AH22" s="102"/>
      <c r="AI22" s="101" t="str">
        <f t="shared" si="30"/>
        <v/>
      </c>
      <c r="AJ22" s="103"/>
      <c r="AK22" s="96"/>
      <c r="AL22" s="96"/>
      <c r="AM22" s="97" t="str">
        <f t="shared" si="31"/>
        <v/>
      </c>
      <c r="AN22" s="96"/>
      <c r="AO22" s="97" t="str">
        <f t="shared" si="18"/>
        <v/>
      </c>
      <c r="AP22" s="96"/>
      <c r="AQ22" s="98" t="str">
        <f t="shared" si="19"/>
        <v/>
      </c>
      <c r="AR22" s="96"/>
      <c r="AS22" s="107">
        <f t="shared" si="85"/>
        <v>0</v>
      </c>
      <c r="AT22" s="100"/>
      <c r="AU22" s="100"/>
      <c r="AV22" s="100"/>
      <c r="AW22" s="100"/>
      <c r="AX22" s="100"/>
      <c r="AY22" s="101"/>
      <c r="AZ22" s="102"/>
      <c r="BA22" s="101" t="str">
        <f t="shared" si="32"/>
        <v/>
      </c>
      <c r="BB22" s="96"/>
      <c r="BC22" s="97" t="str">
        <f t="shared" si="21"/>
        <v/>
      </c>
      <c r="BD22" s="96"/>
      <c r="BE22" s="97" t="str">
        <f t="shared" si="22"/>
        <v/>
      </c>
      <c r="BF22" s="96"/>
      <c r="BG22" s="98" t="str">
        <f t="shared" si="23"/>
        <v/>
      </c>
      <c r="BH22" s="96"/>
      <c r="BI22" s="107">
        <f t="shared" si="86"/>
        <v>6000</v>
      </c>
      <c r="BJ22" s="111">
        <v>6000.0</v>
      </c>
      <c r="BK22" s="100"/>
      <c r="BL22" s="100"/>
      <c r="BM22" s="100"/>
      <c r="BN22" s="100"/>
      <c r="BO22" s="101"/>
      <c r="BP22" s="102"/>
      <c r="BQ22" s="101" t="str">
        <f t="shared" si="25"/>
        <v/>
      </c>
      <c r="BR22" s="104"/>
      <c r="BS22" s="96"/>
      <c r="BT22" s="105"/>
      <c r="BU22" s="96"/>
      <c r="BV22" s="105"/>
      <c r="BW22" s="96"/>
      <c r="BX22" s="105"/>
      <c r="BY22" s="96"/>
      <c r="BZ22" s="106"/>
      <c r="CA22" s="101"/>
      <c r="CB22" s="101"/>
      <c r="CC22" s="101"/>
      <c r="CD22" s="102"/>
      <c r="CE22" s="101" t="str">
        <f t="shared" si="49"/>
        <v/>
      </c>
      <c r="CF22" s="104"/>
      <c r="CG22" s="96"/>
      <c r="CH22" s="96"/>
      <c r="CI22" s="96"/>
      <c r="CJ22" s="96"/>
      <c r="CK22" s="106"/>
      <c r="CL22" s="101"/>
      <c r="CM22" s="101"/>
      <c r="CN22" s="101"/>
      <c r="CO22" s="102"/>
      <c r="CP22" s="101"/>
      <c r="CQ22" s="104"/>
    </row>
    <row r="23" hidden="1" outlineLevel="1">
      <c r="A23" s="87">
        <f>A25+1</f>
        <v>45306</v>
      </c>
      <c r="B23" s="115">
        <f t="shared" si="77"/>
        <v>0</v>
      </c>
      <c r="C23" s="113" t="str">
        <f t="shared" si="10"/>
        <v/>
      </c>
      <c r="D23" s="101">
        <f t="shared" si="78"/>
        <v>0</v>
      </c>
      <c r="E23" s="113" t="str">
        <f t="shared" si="11"/>
        <v/>
      </c>
      <c r="F23" s="101">
        <f t="shared" si="79"/>
        <v>0</v>
      </c>
      <c r="G23" s="113" t="str">
        <f t="shared" si="12"/>
        <v/>
      </c>
      <c r="H23" s="112">
        <f t="shared" si="80"/>
        <v>0</v>
      </c>
      <c r="I23" s="114">
        <f t="shared" si="81"/>
        <v>6000</v>
      </c>
      <c r="J23" s="75">
        <f t="shared" ref="J23:M23" si="91">AB23+AS23+BJ23</f>
        <v>6000</v>
      </c>
      <c r="K23" s="76">
        <f t="shared" si="91"/>
        <v>0</v>
      </c>
      <c r="L23" s="76">
        <f t="shared" si="91"/>
        <v>0</v>
      </c>
      <c r="M23" s="76">
        <f t="shared" si="91"/>
        <v>0</v>
      </c>
      <c r="N23" s="93"/>
      <c r="O23" s="116">
        <f t="shared" si="83"/>
        <v>0</v>
      </c>
      <c r="P23" s="94">
        <f t="shared" si="28"/>
        <v>0</v>
      </c>
      <c r="Q23" s="101" t="str">
        <f t="shared" si="44"/>
        <v/>
      </c>
      <c r="R23" s="95"/>
      <c r="S23" s="96"/>
      <c r="T23" s="96"/>
      <c r="U23" s="97" t="str">
        <f t="shared" si="29"/>
        <v/>
      </c>
      <c r="V23" s="96"/>
      <c r="W23" s="97" t="str">
        <f t="shared" si="15"/>
        <v/>
      </c>
      <c r="X23" s="96"/>
      <c r="Y23" s="98" t="str">
        <f t="shared" si="16"/>
        <v/>
      </c>
      <c r="Z23" s="96"/>
      <c r="AA23" s="107">
        <f t="shared" si="84"/>
        <v>0</v>
      </c>
      <c r="AB23" s="100"/>
      <c r="AC23" s="100"/>
      <c r="AD23" s="100"/>
      <c r="AE23" s="100"/>
      <c r="AF23" s="100"/>
      <c r="AG23" s="101"/>
      <c r="AH23" s="102"/>
      <c r="AI23" s="101" t="str">
        <f t="shared" si="30"/>
        <v/>
      </c>
      <c r="AJ23" s="103"/>
      <c r="AK23" s="96"/>
      <c r="AL23" s="96"/>
      <c r="AM23" s="97" t="str">
        <f t="shared" si="31"/>
        <v/>
      </c>
      <c r="AN23" s="96"/>
      <c r="AO23" s="97" t="str">
        <f t="shared" si="18"/>
        <v/>
      </c>
      <c r="AP23" s="96"/>
      <c r="AQ23" s="98" t="str">
        <f t="shared" si="19"/>
        <v/>
      </c>
      <c r="AR23" s="96"/>
      <c r="AS23" s="107">
        <f t="shared" si="85"/>
        <v>0</v>
      </c>
      <c r="AT23" s="100"/>
      <c r="AU23" s="100"/>
      <c r="AV23" s="100"/>
      <c r="AW23" s="100"/>
      <c r="AX23" s="100"/>
      <c r="AY23" s="101"/>
      <c r="AZ23" s="102"/>
      <c r="BA23" s="101" t="str">
        <f t="shared" si="32"/>
        <v/>
      </c>
      <c r="BB23" s="96"/>
      <c r="BC23" s="97" t="str">
        <f t="shared" si="21"/>
        <v/>
      </c>
      <c r="BD23" s="96"/>
      <c r="BE23" s="97" t="str">
        <f t="shared" si="22"/>
        <v/>
      </c>
      <c r="BF23" s="96"/>
      <c r="BG23" s="98" t="str">
        <f t="shared" si="23"/>
        <v/>
      </c>
      <c r="BH23" s="96"/>
      <c r="BI23" s="107">
        <f t="shared" si="86"/>
        <v>6000</v>
      </c>
      <c r="BJ23" s="111">
        <v>6000.0</v>
      </c>
      <c r="BK23" s="100"/>
      <c r="BL23" s="100"/>
      <c r="BM23" s="100"/>
      <c r="BN23" s="100"/>
      <c r="BO23" s="101"/>
      <c r="BP23" s="102"/>
      <c r="BQ23" s="101" t="str">
        <f t="shared" si="25"/>
        <v/>
      </c>
      <c r="BR23" s="104"/>
      <c r="BS23" s="96"/>
      <c r="BT23" s="105"/>
      <c r="BU23" s="96"/>
      <c r="BV23" s="105"/>
      <c r="BW23" s="96"/>
      <c r="BX23" s="105"/>
      <c r="BY23" s="96"/>
      <c r="BZ23" s="106"/>
      <c r="CA23" s="101"/>
      <c r="CB23" s="101"/>
      <c r="CC23" s="101"/>
      <c r="CD23" s="102"/>
      <c r="CE23" s="101" t="str">
        <f t="shared" si="49"/>
        <v/>
      </c>
      <c r="CF23" s="104"/>
      <c r="CG23" s="96"/>
      <c r="CH23" s="96"/>
      <c r="CI23" s="96"/>
      <c r="CJ23" s="96"/>
      <c r="CK23" s="106"/>
      <c r="CL23" s="101"/>
      <c r="CM23" s="101"/>
      <c r="CN23" s="101"/>
      <c r="CO23" s="102"/>
      <c r="CP23" s="101"/>
      <c r="CQ23" s="104"/>
    </row>
    <row r="24" collapsed="1">
      <c r="A24" s="70" t="s">
        <v>40</v>
      </c>
      <c r="B24" s="71">
        <f>SUM(B25:B31)</f>
        <v>0</v>
      </c>
      <c r="C24" s="72" t="str">
        <f t="shared" si="10"/>
        <v/>
      </c>
      <c r="D24" s="54">
        <f>SUM(D25:D31)</f>
        <v>0</v>
      </c>
      <c r="E24" s="72" t="str">
        <f t="shared" si="11"/>
        <v/>
      </c>
      <c r="F24" s="54">
        <f>SUM(F25:F31)</f>
        <v>0</v>
      </c>
      <c r="G24" s="72" t="str">
        <f t="shared" si="12"/>
        <v/>
      </c>
      <c r="H24" s="73">
        <f t="shared" ref="H24:I24" si="92">SUM(H25:H31)</f>
        <v>0</v>
      </c>
      <c r="I24" s="74">
        <f t="shared" si="92"/>
        <v>0</v>
      </c>
      <c r="J24" s="75">
        <f t="shared" ref="J24:M24" si="93">AB24+AS24+BJ24</f>
        <v>0</v>
      </c>
      <c r="K24" s="76">
        <f t="shared" si="93"/>
        <v>0</v>
      </c>
      <c r="L24" s="76">
        <f t="shared" si="93"/>
        <v>0</v>
      </c>
      <c r="M24" s="76">
        <f t="shared" si="93"/>
        <v>0</v>
      </c>
      <c r="N24" s="77"/>
      <c r="O24" s="77"/>
      <c r="P24" s="94">
        <f t="shared" si="28"/>
        <v>0</v>
      </c>
      <c r="Q24" s="54" t="str">
        <f t="shared" si="44"/>
        <v/>
      </c>
      <c r="R24" s="79">
        <v>2.0</v>
      </c>
      <c r="S24" s="71">
        <f>SUM(S25:S31)</f>
        <v>0</v>
      </c>
      <c r="T24" s="71"/>
      <c r="U24" s="72" t="str">
        <f t="shared" si="29"/>
        <v/>
      </c>
      <c r="V24" s="71">
        <f>SUM(V25:V31)</f>
        <v>0</v>
      </c>
      <c r="W24" s="72" t="str">
        <f t="shared" si="15"/>
        <v/>
      </c>
      <c r="X24" s="71">
        <f>SUM(X25:X31)</f>
        <v>0</v>
      </c>
      <c r="Y24" s="80" t="str">
        <f t="shared" si="16"/>
        <v/>
      </c>
      <c r="Z24" s="71">
        <f t="shared" ref="Z24:AF24" si="94">SUM(Z25:Z31)</f>
        <v>0</v>
      </c>
      <c r="AA24" s="74">
        <f t="shared" si="94"/>
        <v>0</v>
      </c>
      <c r="AB24" s="81">
        <f t="shared" si="94"/>
        <v>0</v>
      </c>
      <c r="AC24" s="81">
        <f t="shared" si="94"/>
        <v>0</v>
      </c>
      <c r="AD24" s="81">
        <f t="shared" si="94"/>
        <v>0</v>
      </c>
      <c r="AE24" s="81">
        <f t="shared" si="94"/>
        <v>0</v>
      </c>
      <c r="AF24" s="81">
        <f t="shared" si="94"/>
        <v>0</v>
      </c>
      <c r="AG24" s="82" t="str">
        <f>IFERROR(AH24/AA24,"")</f>
        <v/>
      </c>
      <c r="AH24" s="117">
        <f>SUM(AH25:AH31)</f>
        <v>0</v>
      </c>
      <c r="AI24" s="82" t="str">
        <f t="shared" si="30"/>
        <v/>
      </c>
      <c r="AJ24" s="84"/>
      <c r="AK24" s="71">
        <f>SUM(AK25:AK31)</f>
        <v>0</v>
      </c>
      <c r="AL24" s="71"/>
      <c r="AM24" s="72" t="str">
        <f t="shared" si="31"/>
        <v/>
      </c>
      <c r="AN24" s="71">
        <f>SUM(AN25:AN31)</f>
        <v>0</v>
      </c>
      <c r="AO24" s="72" t="str">
        <f t="shared" si="18"/>
        <v/>
      </c>
      <c r="AP24" s="71">
        <f>SUM(AP25:AP31)</f>
        <v>0</v>
      </c>
      <c r="AQ24" s="80" t="str">
        <f t="shared" si="19"/>
        <v/>
      </c>
      <c r="AR24" s="71">
        <f t="shared" ref="AR24:AX24" si="95">SUM(AR25:AR31)</f>
        <v>0</v>
      </c>
      <c r="AS24" s="74">
        <f t="shared" si="95"/>
        <v>0</v>
      </c>
      <c r="AT24" s="81">
        <f t="shared" si="95"/>
        <v>0</v>
      </c>
      <c r="AU24" s="81">
        <f t="shared" si="95"/>
        <v>0</v>
      </c>
      <c r="AV24" s="81">
        <f t="shared" si="95"/>
        <v>0</v>
      </c>
      <c r="AW24" s="81">
        <f t="shared" si="95"/>
        <v>0</v>
      </c>
      <c r="AX24" s="81">
        <f t="shared" si="95"/>
        <v>0</v>
      </c>
      <c r="AY24" s="82" t="str">
        <f>IFERROR(AZ24/AS24,"")</f>
        <v/>
      </c>
      <c r="AZ24" s="117">
        <f>SUM(AZ25:AZ31)</f>
        <v>0</v>
      </c>
      <c r="BA24" s="82" t="str">
        <f t="shared" si="32"/>
        <v/>
      </c>
      <c r="BB24" s="71">
        <f>SUM(BB25:BB31)</f>
        <v>0</v>
      </c>
      <c r="BC24" s="72" t="str">
        <f t="shared" si="21"/>
        <v/>
      </c>
      <c r="BD24" s="71">
        <f>SUM(BD25:BD31)</f>
        <v>0</v>
      </c>
      <c r="BE24" s="72" t="str">
        <f t="shared" si="22"/>
        <v/>
      </c>
      <c r="BF24" s="71">
        <f>SUM(BF25:BF31)</f>
        <v>0</v>
      </c>
      <c r="BG24" s="80" t="str">
        <f t="shared" si="23"/>
        <v/>
      </c>
      <c r="BH24" s="71">
        <f t="shared" ref="BH24:BN24" si="96">SUM(BH25:BH31)</f>
        <v>0</v>
      </c>
      <c r="BI24" s="74">
        <f t="shared" si="96"/>
        <v>0</v>
      </c>
      <c r="BJ24" s="81">
        <f t="shared" si="96"/>
        <v>0</v>
      </c>
      <c r="BK24" s="81">
        <f t="shared" si="96"/>
        <v>0</v>
      </c>
      <c r="BL24" s="81">
        <f t="shared" si="96"/>
        <v>0</v>
      </c>
      <c r="BM24" s="81">
        <f t="shared" si="96"/>
        <v>0</v>
      </c>
      <c r="BN24" s="81">
        <f t="shared" si="96"/>
        <v>0</v>
      </c>
      <c r="BO24" s="82" t="str">
        <f>IFERROR(BP24/BI24,"")</f>
        <v/>
      </c>
      <c r="BP24" s="117">
        <f>SUM(BP25:BP31)</f>
        <v>0</v>
      </c>
      <c r="BQ24" s="82" t="str">
        <f t="shared" si="25"/>
        <v/>
      </c>
      <c r="BR24" s="85"/>
      <c r="BS24" s="71">
        <f>SUM(BS29:BS36)</f>
        <v>0</v>
      </c>
      <c r="BT24" s="72" t="str">
        <f>IFERROR(BU24/BS24,"")</f>
        <v/>
      </c>
      <c r="BU24" s="71">
        <f>SUM(BU29:BU36)</f>
        <v>0</v>
      </c>
      <c r="BV24" s="72" t="str">
        <f>IFERROR(BW24/BU24,"")</f>
        <v/>
      </c>
      <c r="BW24" s="71">
        <f>SUM(BW29:BW36)</f>
        <v>0</v>
      </c>
      <c r="BX24" s="72" t="str">
        <f>IFERROR(BY24/BW24,"")</f>
        <v/>
      </c>
      <c r="BY24" s="71">
        <f t="shared" ref="BY24:BZ24" si="97">SUM(BY29:BY36)</f>
        <v>0</v>
      </c>
      <c r="BZ24" s="86">
        <f t="shared" si="97"/>
        <v>0</v>
      </c>
      <c r="CA24" s="54"/>
      <c r="CB24" s="86"/>
      <c r="CC24" s="54" t="str">
        <f>IFERROR(BY24/BU24,"")</f>
        <v/>
      </c>
      <c r="CD24" s="83"/>
      <c r="CE24" s="82" t="str">
        <f t="shared" si="49"/>
        <v/>
      </c>
      <c r="CF24" s="85"/>
      <c r="CG24" s="71"/>
      <c r="CH24" s="71"/>
      <c r="CI24" s="71"/>
      <c r="CJ24" s="71"/>
      <c r="CK24" s="71"/>
      <c r="CL24" s="71"/>
      <c r="CM24" s="82"/>
      <c r="CN24" s="82"/>
      <c r="CO24" s="83"/>
      <c r="CP24" s="82"/>
      <c r="CQ24" s="85"/>
    </row>
    <row r="25" hidden="1" outlineLevel="1">
      <c r="A25" s="118">
        <f t="shared" ref="A25:A30" si="99">A26+1</f>
        <v>45305</v>
      </c>
      <c r="B25" s="119">
        <f t="shared" ref="B25:B28" si="100">S25+AK25+BB25+BS25</f>
        <v>0</v>
      </c>
      <c r="C25" s="120" t="str">
        <f t="shared" si="10"/>
        <v/>
      </c>
      <c r="D25" s="68">
        <f t="shared" ref="D25:D31" si="101">V25+AM25+BD25+BU25</f>
        <v>0</v>
      </c>
      <c r="E25" s="120" t="str">
        <f t="shared" si="11"/>
        <v/>
      </c>
      <c r="F25" s="68">
        <f t="shared" ref="F25:F31" si="102">X25+AO25+BF25+BW25</f>
        <v>0</v>
      </c>
      <c r="G25" s="120" t="str">
        <f t="shared" si="12"/>
        <v/>
      </c>
      <c r="H25" s="121">
        <f t="shared" ref="H25:H31" si="103">Z25+AQ25+BH25+BY25</f>
        <v>0</v>
      </c>
      <c r="I25" s="122">
        <f t="shared" ref="I25:I31" si="104">AA25+AR25+BI25+BZ25+CK25</f>
        <v>0</v>
      </c>
      <c r="J25" s="75">
        <f t="shared" ref="J25:M25" si="98">AB25+AS25+BJ25</f>
        <v>0</v>
      </c>
      <c r="K25" s="76">
        <f t="shared" si="98"/>
        <v>0</v>
      </c>
      <c r="L25" s="76">
        <f t="shared" si="98"/>
        <v>0</v>
      </c>
      <c r="M25" s="76">
        <f t="shared" si="98"/>
        <v>0</v>
      </c>
      <c r="N25" s="123"/>
      <c r="O25" s="52" t="str">
        <f t="shared" ref="O25:O31" si="106">IFERROR(P25/I25,"")</f>
        <v/>
      </c>
      <c r="P25" s="94">
        <f t="shared" si="28"/>
        <v>0</v>
      </c>
      <c r="Q25" s="68" t="str">
        <f t="shared" si="44"/>
        <v/>
      </c>
      <c r="R25" s="124"/>
      <c r="S25" s="125"/>
      <c r="T25" s="125"/>
      <c r="U25" s="126" t="str">
        <f t="shared" si="29"/>
        <v/>
      </c>
      <c r="V25" s="125"/>
      <c r="W25" s="126" t="str">
        <f t="shared" si="15"/>
        <v/>
      </c>
      <c r="X25" s="125"/>
      <c r="Y25" s="127" t="str">
        <f t="shared" si="16"/>
        <v/>
      </c>
      <c r="Z25" s="125"/>
      <c r="AA25" s="128"/>
      <c r="AB25" s="129"/>
      <c r="AC25" s="129"/>
      <c r="AD25" s="129"/>
      <c r="AE25" s="129"/>
      <c r="AF25" s="129"/>
      <c r="AG25" s="68"/>
      <c r="AH25" s="130"/>
      <c r="AI25" s="68" t="str">
        <f t="shared" si="30"/>
        <v/>
      </c>
      <c r="AJ25" s="131"/>
      <c r="AK25" s="125"/>
      <c r="AL25" s="125"/>
      <c r="AM25" s="126" t="str">
        <f t="shared" si="31"/>
        <v/>
      </c>
      <c r="AN25" s="125"/>
      <c r="AO25" s="126" t="str">
        <f t="shared" si="18"/>
        <v/>
      </c>
      <c r="AP25" s="125"/>
      <c r="AQ25" s="127" t="str">
        <f t="shared" si="19"/>
        <v/>
      </c>
      <c r="AR25" s="125"/>
      <c r="AS25" s="128"/>
      <c r="AT25" s="129"/>
      <c r="AU25" s="129"/>
      <c r="AV25" s="129"/>
      <c r="AW25" s="129"/>
      <c r="AX25" s="129"/>
      <c r="AY25" s="68"/>
      <c r="AZ25" s="130"/>
      <c r="BA25" s="68" t="str">
        <f t="shared" si="32"/>
        <v/>
      </c>
      <c r="BB25" s="125"/>
      <c r="BC25" s="126" t="str">
        <f t="shared" si="21"/>
        <v/>
      </c>
      <c r="BD25" s="125"/>
      <c r="BE25" s="126" t="str">
        <f t="shared" si="22"/>
        <v/>
      </c>
      <c r="BF25" s="125"/>
      <c r="BG25" s="127" t="str">
        <f t="shared" si="23"/>
        <v/>
      </c>
      <c r="BH25" s="125"/>
      <c r="BI25" s="132">
        <f t="shared" ref="BI25:BI31" si="107">SUM(BJ25:BN25)</f>
        <v>0</v>
      </c>
      <c r="BJ25" s="129"/>
      <c r="BK25" s="133"/>
      <c r="BL25" s="129"/>
      <c r="BM25" s="129"/>
      <c r="BN25" s="129"/>
      <c r="BO25" s="68"/>
      <c r="BP25" s="130"/>
      <c r="BQ25" s="68" t="str">
        <f t="shared" si="25"/>
        <v/>
      </c>
      <c r="BR25" s="134"/>
      <c r="BS25" s="125"/>
      <c r="BT25" s="135"/>
      <c r="BU25" s="125"/>
      <c r="BV25" s="135"/>
      <c r="BW25" s="125"/>
      <c r="BX25" s="135"/>
      <c r="BY25" s="125"/>
      <c r="BZ25" s="136"/>
      <c r="CA25" s="68"/>
      <c r="CB25" s="68"/>
      <c r="CC25" s="68"/>
      <c r="CD25" s="130"/>
      <c r="CE25" s="68" t="str">
        <f t="shared" si="49"/>
        <v/>
      </c>
      <c r="CF25" s="134"/>
      <c r="CG25" s="125"/>
      <c r="CH25" s="125"/>
      <c r="CI25" s="125"/>
      <c r="CJ25" s="125"/>
      <c r="CK25" s="136"/>
      <c r="CL25" s="68"/>
      <c r="CM25" s="68"/>
      <c r="CN25" s="68"/>
      <c r="CO25" s="130"/>
      <c r="CP25" s="68"/>
      <c r="CQ25" s="134"/>
    </row>
    <row r="26" hidden="1" outlineLevel="1">
      <c r="A26" s="118">
        <f t="shared" si="99"/>
        <v>45304</v>
      </c>
      <c r="B26" s="119">
        <f t="shared" si="100"/>
        <v>0</v>
      </c>
      <c r="C26" s="120" t="str">
        <f t="shared" si="10"/>
        <v/>
      </c>
      <c r="D26" s="68">
        <f t="shared" si="101"/>
        <v>0</v>
      </c>
      <c r="E26" s="120" t="str">
        <f t="shared" si="11"/>
        <v/>
      </c>
      <c r="F26" s="68">
        <f t="shared" si="102"/>
        <v>0</v>
      </c>
      <c r="G26" s="120" t="str">
        <f t="shared" si="12"/>
        <v/>
      </c>
      <c r="H26" s="121">
        <f t="shared" si="103"/>
        <v>0</v>
      </c>
      <c r="I26" s="122">
        <f t="shared" si="104"/>
        <v>0</v>
      </c>
      <c r="J26" s="75">
        <f t="shared" ref="J26:M26" si="105">AB26+AS26+BJ26</f>
        <v>0</v>
      </c>
      <c r="K26" s="76">
        <f t="shared" si="105"/>
        <v>0</v>
      </c>
      <c r="L26" s="76">
        <f t="shared" si="105"/>
        <v>0</v>
      </c>
      <c r="M26" s="76">
        <f t="shared" si="105"/>
        <v>0</v>
      </c>
      <c r="N26" s="123"/>
      <c r="O26" s="123" t="str">
        <f t="shared" si="106"/>
        <v/>
      </c>
      <c r="P26" s="94">
        <f t="shared" si="28"/>
        <v>0</v>
      </c>
      <c r="Q26" s="68" t="str">
        <f t="shared" si="44"/>
        <v/>
      </c>
      <c r="R26" s="124"/>
      <c r="S26" s="125"/>
      <c r="T26" s="125"/>
      <c r="U26" s="126" t="str">
        <f t="shared" si="29"/>
        <v/>
      </c>
      <c r="V26" s="125"/>
      <c r="W26" s="126" t="str">
        <f t="shared" si="15"/>
        <v/>
      </c>
      <c r="X26" s="125"/>
      <c r="Y26" s="127" t="str">
        <f t="shared" si="16"/>
        <v/>
      </c>
      <c r="Z26" s="125"/>
      <c r="AA26" s="128"/>
      <c r="AB26" s="129"/>
      <c r="AC26" s="129"/>
      <c r="AD26" s="129"/>
      <c r="AE26" s="129"/>
      <c r="AF26" s="129"/>
      <c r="AG26" s="68"/>
      <c r="AH26" s="130"/>
      <c r="AI26" s="68" t="str">
        <f t="shared" si="30"/>
        <v/>
      </c>
      <c r="AJ26" s="131"/>
      <c r="AK26" s="125"/>
      <c r="AL26" s="125"/>
      <c r="AM26" s="126" t="str">
        <f t="shared" si="31"/>
        <v/>
      </c>
      <c r="AN26" s="125"/>
      <c r="AO26" s="126" t="str">
        <f t="shared" si="18"/>
        <v/>
      </c>
      <c r="AP26" s="125"/>
      <c r="AQ26" s="127" t="str">
        <f t="shared" si="19"/>
        <v/>
      </c>
      <c r="AR26" s="125"/>
      <c r="AS26" s="128"/>
      <c r="AT26" s="129"/>
      <c r="AU26" s="129"/>
      <c r="AV26" s="129"/>
      <c r="AW26" s="129"/>
      <c r="AX26" s="129"/>
      <c r="AY26" s="68"/>
      <c r="AZ26" s="130"/>
      <c r="BA26" s="68" t="str">
        <f t="shared" si="32"/>
        <v/>
      </c>
      <c r="BB26" s="125"/>
      <c r="BC26" s="126" t="str">
        <f t="shared" si="21"/>
        <v/>
      </c>
      <c r="BD26" s="125"/>
      <c r="BE26" s="126" t="str">
        <f t="shared" si="22"/>
        <v/>
      </c>
      <c r="BF26" s="125"/>
      <c r="BG26" s="127" t="str">
        <f t="shared" si="23"/>
        <v/>
      </c>
      <c r="BH26" s="125"/>
      <c r="BI26" s="132">
        <f t="shared" si="107"/>
        <v>0</v>
      </c>
      <c r="BJ26" s="129"/>
      <c r="BK26" s="129"/>
      <c r="BL26" s="129"/>
      <c r="BM26" s="129"/>
      <c r="BN26" s="129"/>
      <c r="BO26" s="68"/>
      <c r="BP26" s="130"/>
      <c r="BQ26" s="68" t="str">
        <f t="shared" si="25"/>
        <v/>
      </c>
      <c r="BR26" s="134"/>
      <c r="BS26" s="125"/>
      <c r="BT26" s="135"/>
      <c r="BU26" s="125"/>
      <c r="BV26" s="135"/>
      <c r="BW26" s="125"/>
      <c r="BX26" s="135"/>
      <c r="BY26" s="125"/>
      <c r="BZ26" s="136"/>
      <c r="CA26" s="68"/>
      <c r="CB26" s="68"/>
      <c r="CC26" s="68"/>
      <c r="CD26" s="130"/>
      <c r="CE26" s="68" t="str">
        <f t="shared" si="49"/>
        <v/>
      </c>
      <c r="CF26" s="134"/>
      <c r="CG26" s="125"/>
      <c r="CH26" s="125"/>
      <c r="CI26" s="125"/>
      <c r="CJ26" s="125"/>
      <c r="CK26" s="136"/>
      <c r="CL26" s="68"/>
      <c r="CM26" s="68"/>
      <c r="CN26" s="68"/>
      <c r="CO26" s="130"/>
      <c r="CP26" s="68"/>
      <c r="CQ26" s="134"/>
    </row>
    <row r="27" hidden="1" outlineLevel="1">
      <c r="A27" s="118">
        <f t="shared" si="99"/>
        <v>45303</v>
      </c>
      <c r="B27" s="119">
        <f t="shared" si="100"/>
        <v>0</v>
      </c>
      <c r="C27" s="120" t="str">
        <f t="shared" si="10"/>
        <v/>
      </c>
      <c r="D27" s="68">
        <f t="shared" si="101"/>
        <v>0</v>
      </c>
      <c r="E27" s="120" t="str">
        <f t="shared" si="11"/>
        <v/>
      </c>
      <c r="F27" s="68">
        <f t="shared" si="102"/>
        <v>0</v>
      </c>
      <c r="G27" s="120" t="str">
        <f t="shared" si="12"/>
        <v/>
      </c>
      <c r="H27" s="121">
        <f t="shared" si="103"/>
        <v>0</v>
      </c>
      <c r="I27" s="122">
        <f t="shared" si="104"/>
        <v>0</v>
      </c>
      <c r="J27" s="75">
        <f t="shared" ref="J27:M27" si="108">AB27+AS27+BJ27</f>
        <v>0</v>
      </c>
      <c r="K27" s="76">
        <f t="shared" si="108"/>
        <v>0</v>
      </c>
      <c r="L27" s="76">
        <f t="shared" si="108"/>
        <v>0</v>
      </c>
      <c r="M27" s="76">
        <f t="shared" si="108"/>
        <v>0</v>
      </c>
      <c r="N27" s="123"/>
      <c r="O27" s="123" t="str">
        <f t="shared" si="106"/>
        <v/>
      </c>
      <c r="P27" s="94">
        <f t="shared" si="28"/>
        <v>0</v>
      </c>
      <c r="Q27" s="68" t="str">
        <f t="shared" si="44"/>
        <v/>
      </c>
      <c r="R27" s="124"/>
      <c r="S27" s="125"/>
      <c r="T27" s="125"/>
      <c r="U27" s="126" t="str">
        <f t="shared" si="29"/>
        <v/>
      </c>
      <c r="V27" s="125"/>
      <c r="W27" s="126" t="str">
        <f t="shared" si="15"/>
        <v/>
      </c>
      <c r="X27" s="125"/>
      <c r="Y27" s="127" t="str">
        <f t="shared" si="16"/>
        <v/>
      </c>
      <c r="Z27" s="125"/>
      <c r="AA27" s="128"/>
      <c r="AB27" s="129"/>
      <c r="AC27" s="129"/>
      <c r="AD27" s="129"/>
      <c r="AE27" s="129"/>
      <c r="AF27" s="129"/>
      <c r="AG27" s="68"/>
      <c r="AH27" s="130"/>
      <c r="AI27" s="68" t="str">
        <f t="shared" si="30"/>
        <v/>
      </c>
      <c r="AJ27" s="131"/>
      <c r="AK27" s="125"/>
      <c r="AL27" s="125"/>
      <c r="AM27" s="126" t="str">
        <f t="shared" si="31"/>
        <v/>
      </c>
      <c r="AN27" s="125"/>
      <c r="AO27" s="126" t="str">
        <f t="shared" si="18"/>
        <v/>
      </c>
      <c r="AP27" s="125"/>
      <c r="AQ27" s="127" t="str">
        <f t="shared" si="19"/>
        <v/>
      </c>
      <c r="AR27" s="125"/>
      <c r="AS27" s="128"/>
      <c r="AT27" s="129"/>
      <c r="AU27" s="129"/>
      <c r="AV27" s="129"/>
      <c r="AW27" s="129"/>
      <c r="AX27" s="129"/>
      <c r="AY27" s="68"/>
      <c r="AZ27" s="130"/>
      <c r="BA27" s="68" t="str">
        <f t="shared" si="32"/>
        <v/>
      </c>
      <c r="BB27" s="125"/>
      <c r="BC27" s="126" t="str">
        <f t="shared" si="21"/>
        <v/>
      </c>
      <c r="BD27" s="125"/>
      <c r="BE27" s="126" t="str">
        <f t="shared" si="22"/>
        <v/>
      </c>
      <c r="BF27" s="125"/>
      <c r="BG27" s="127" t="str">
        <f t="shared" si="23"/>
        <v/>
      </c>
      <c r="BH27" s="125"/>
      <c r="BI27" s="132">
        <f t="shared" si="107"/>
        <v>0</v>
      </c>
      <c r="BJ27" s="129"/>
      <c r="BK27" s="129"/>
      <c r="BL27" s="129"/>
      <c r="BM27" s="129"/>
      <c r="BN27" s="129"/>
      <c r="BO27" s="68"/>
      <c r="BP27" s="130"/>
      <c r="BQ27" s="68" t="str">
        <f t="shared" si="25"/>
        <v/>
      </c>
      <c r="BR27" s="134"/>
      <c r="BS27" s="125"/>
      <c r="BT27" s="135"/>
      <c r="BU27" s="125"/>
      <c r="BV27" s="135"/>
      <c r="BW27" s="125"/>
      <c r="BX27" s="135"/>
      <c r="BY27" s="125"/>
      <c r="BZ27" s="136"/>
      <c r="CA27" s="68"/>
      <c r="CB27" s="68"/>
      <c r="CC27" s="68"/>
      <c r="CD27" s="130"/>
      <c r="CE27" s="68" t="str">
        <f t="shared" si="49"/>
        <v/>
      </c>
      <c r="CF27" s="134"/>
      <c r="CG27" s="125"/>
      <c r="CH27" s="125"/>
      <c r="CI27" s="125"/>
      <c r="CJ27" s="125"/>
      <c r="CK27" s="136"/>
      <c r="CL27" s="68"/>
      <c r="CM27" s="68"/>
      <c r="CN27" s="68"/>
      <c r="CO27" s="130"/>
      <c r="CP27" s="68"/>
      <c r="CQ27" s="134"/>
    </row>
    <row r="28" hidden="1" outlineLevel="1">
      <c r="A28" s="118">
        <f t="shared" si="99"/>
        <v>45302</v>
      </c>
      <c r="B28" s="119">
        <f t="shared" si="100"/>
        <v>0</v>
      </c>
      <c r="C28" s="120" t="str">
        <f t="shared" si="10"/>
        <v/>
      </c>
      <c r="D28" s="68">
        <f t="shared" si="101"/>
        <v>0</v>
      </c>
      <c r="E28" s="120" t="str">
        <f t="shared" si="11"/>
        <v/>
      </c>
      <c r="F28" s="68">
        <f t="shared" si="102"/>
        <v>0</v>
      </c>
      <c r="G28" s="120" t="str">
        <f t="shared" si="12"/>
        <v/>
      </c>
      <c r="H28" s="121">
        <f t="shared" si="103"/>
        <v>0</v>
      </c>
      <c r="I28" s="122">
        <f t="shared" si="104"/>
        <v>0</v>
      </c>
      <c r="J28" s="75">
        <f t="shared" ref="J28:M28" si="109">AB28+AS28+BJ28</f>
        <v>0</v>
      </c>
      <c r="K28" s="76">
        <f t="shared" si="109"/>
        <v>0</v>
      </c>
      <c r="L28" s="76">
        <f t="shared" si="109"/>
        <v>0</v>
      </c>
      <c r="M28" s="76">
        <f t="shared" si="109"/>
        <v>0</v>
      </c>
      <c r="N28" s="123"/>
      <c r="O28" s="123" t="str">
        <f t="shared" si="106"/>
        <v/>
      </c>
      <c r="P28" s="94">
        <f t="shared" si="28"/>
        <v>0</v>
      </c>
      <c r="Q28" s="68" t="str">
        <f t="shared" si="44"/>
        <v/>
      </c>
      <c r="R28" s="124"/>
      <c r="S28" s="125"/>
      <c r="T28" s="125"/>
      <c r="U28" s="126" t="str">
        <f t="shared" si="29"/>
        <v/>
      </c>
      <c r="V28" s="125"/>
      <c r="W28" s="126" t="str">
        <f t="shared" si="15"/>
        <v/>
      </c>
      <c r="X28" s="125"/>
      <c r="Y28" s="127" t="str">
        <f t="shared" si="16"/>
        <v/>
      </c>
      <c r="Z28" s="125"/>
      <c r="AA28" s="128"/>
      <c r="AB28" s="129"/>
      <c r="AC28" s="129"/>
      <c r="AD28" s="129"/>
      <c r="AE28" s="129"/>
      <c r="AF28" s="129"/>
      <c r="AG28" s="68"/>
      <c r="AH28" s="130"/>
      <c r="AI28" s="68" t="str">
        <f t="shared" si="30"/>
        <v/>
      </c>
      <c r="AJ28" s="131"/>
      <c r="AK28" s="125"/>
      <c r="AL28" s="125"/>
      <c r="AM28" s="126" t="str">
        <f t="shared" si="31"/>
        <v/>
      </c>
      <c r="AN28" s="125"/>
      <c r="AO28" s="126" t="str">
        <f t="shared" si="18"/>
        <v/>
      </c>
      <c r="AP28" s="125"/>
      <c r="AQ28" s="127" t="str">
        <f t="shared" si="19"/>
        <v/>
      </c>
      <c r="AR28" s="125"/>
      <c r="AS28" s="128"/>
      <c r="AT28" s="129"/>
      <c r="AU28" s="129"/>
      <c r="AV28" s="129"/>
      <c r="AW28" s="129"/>
      <c r="AX28" s="129"/>
      <c r="AY28" s="68"/>
      <c r="AZ28" s="130"/>
      <c r="BA28" s="68" t="str">
        <f t="shared" si="32"/>
        <v/>
      </c>
      <c r="BB28" s="125"/>
      <c r="BC28" s="126" t="str">
        <f t="shared" si="21"/>
        <v/>
      </c>
      <c r="BD28" s="125"/>
      <c r="BE28" s="126" t="str">
        <f t="shared" si="22"/>
        <v/>
      </c>
      <c r="BF28" s="125"/>
      <c r="BG28" s="127" t="str">
        <f t="shared" si="23"/>
        <v/>
      </c>
      <c r="BH28" s="125"/>
      <c r="BI28" s="132">
        <f t="shared" si="107"/>
        <v>0</v>
      </c>
      <c r="BJ28" s="129"/>
      <c r="BK28" s="129"/>
      <c r="BL28" s="129"/>
      <c r="BM28" s="129"/>
      <c r="BN28" s="129"/>
      <c r="BO28" s="68"/>
      <c r="BP28" s="130"/>
      <c r="BQ28" s="68" t="str">
        <f t="shared" si="25"/>
        <v/>
      </c>
      <c r="BR28" s="134"/>
      <c r="BS28" s="125"/>
      <c r="BT28" s="135"/>
      <c r="BU28" s="125"/>
      <c r="BV28" s="135"/>
      <c r="BW28" s="125"/>
      <c r="BX28" s="135"/>
      <c r="BY28" s="125"/>
      <c r="BZ28" s="136"/>
      <c r="CA28" s="68"/>
      <c r="CB28" s="68"/>
      <c r="CC28" s="68"/>
      <c r="CD28" s="130"/>
      <c r="CE28" s="68" t="str">
        <f t="shared" si="49"/>
        <v/>
      </c>
      <c r="CF28" s="134"/>
      <c r="CG28" s="125"/>
      <c r="CH28" s="125"/>
      <c r="CI28" s="125"/>
      <c r="CJ28" s="125"/>
      <c r="CK28" s="136"/>
      <c r="CL28" s="68"/>
      <c r="CM28" s="68"/>
      <c r="CN28" s="68"/>
      <c r="CO28" s="130"/>
      <c r="CP28" s="68"/>
      <c r="CQ28" s="134"/>
    </row>
    <row r="29" hidden="1" outlineLevel="1">
      <c r="A29" s="118">
        <f t="shared" si="99"/>
        <v>45301</v>
      </c>
      <c r="B29" s="119">
        <f t="shared" ref="B29:B30" si="111">S28+AK29+BB29+BS29</f>
        <v>0</v>
      </c>
      <c r="C29" s="120" t="str">
        <f t="shared" si="10"/>
        <v/>
      </c>
      <c r="D29" s="68">
        <f t="shared" si="101"/>
        <v>0</v>
      </c>
      <c r="E29" s="120" t="str">
        <f t="shared" si="11"/>
        <v/>
      </c>
      <c r="F29" s="68">
        <f t="shared" si="102"/>
        <v>0</v>
      </c>
      <c r="G29" s="120" t="str">
        <f t="shared" si="12"/>
        <v/>
      </c>
      <c r="H29" s="121">
        <f t="shared" si="103"/>
        <v>0</v>
      </c>
      <c r="I29" s="122">
        <f t="shared" si="104"/>
        <v>0</v>
      </c>
      <c r="J29" s="75">
        <f t="shared" ref="J29:M29" si="110">AB29+AS29+BJ29</f>
        <v>0</v>
      </c>
      <c r="K29" s="76">
        <f t="shared" si="110"/>
        <v>0</v>
      </c>
      <c r="L29" s="76">
        <f t="shared" si="110"/>
        <v>0</v>
      </c>
      <c r="M29" s="76">
        <f t="shared" si="110"/>
        <v>0</v>
      </c>
      <c r="N29" s="123"/>
      <c r="O29" s="123" t="str">
        <f t="shared" si="106"/>
        <v/>
      </c>
      <c r="P29" s="94">
        <f t="shared" si="28"/>
        <v>0</v>
      </c>
      <c r="Q29" s="68" t="str">
        <f t="shared" si="44"/>
        <v/>
      </c>
      <c r="R29" s="124"/>
      <c r="S29" s="125"/>
      <c r="T29" s="125"/>
      <c r="U29" s="126"/>
      <c r="V29" s="125"/>
      <c r="W29" s="126" t="str">
        <f t="shared" si="15"/>
        <v/>
      </c>
      <c r="X29" s="125"/>
      <c r="Y29" s="127" t="str">
        <f t="shared" si="16"/>
        <v/>
      </c>
      <c r="Z29" s="125">
        <v>0.0</v>
      </c>
      <c r="AA29" s="128">
        <v>0.0</v>
      </c>
      <c r="AB29" s="129"/>
      <c r="AC29" s="129"/>
      <c r="AD29" s="129"/>
      <c r="AE29" s="129"/>
      <c r="AF29" s="129"/>
      <c r="AG29" s="68"/>
      <c r="AH29" s="130"/>
      <c r="AI29" s="68" t="str">
        <f t="shared" si="30"/>
        <v/>
      </c>
      <c r="AJ29" s="131"/>
      <c r="AK29" s="125"/>
      <c r="AL29" s="125"/>
      <c r="AM29" s="126"/>
      <c r="AN29" s="125"/>
      <c r="AO29" s="126" t="str">
        <f t="shared" si="18"/>
        <v/>
      </c>
      <c r="AP29" s="125"/>
      <c r="AQ29" s="127" t="str">
        <f t="shared" si="19"/>
        <v/>
      </c>
      <c r="AR29" s="125">
        <v>0.0</v>
      </c>
      <c r="AS29" s="128">
        <v>0.0</v>
      </c>
      <c r="AT29" s="129"/>
      <c r="AU29" s="129"/>
      <c r="AV29" s="129"/>
      <c r="AW29" s="129"/>
      <c r="AX29" s="129"/>
      <c r="AY29" s="68"/>
      <c r="AZ29" s="130"/>
      <c r="BA29" s="68" t="str">
        <f t="shared" si="32"/>
        <v/>
      </c>
      <c r="BB29" s="125"/>
      <c r="BC29" s="126"/>
      <c r="BD29" s="125"/>
      <c r="BE29" s="126" t="str">
        <f t="shared" si="22"/>
        <v/>
      </c>
      <c r="BF29" s="125"/>
      <c r="BG29" s="127" t="str">
        <f t="shared" si="23"/>
        <v/>
      </c>
      <c r="BH29" s="125"/>
      <c r="BI29" s="132">
        <f t="shared" si="107"/>
        <v>0</v>
      </c>
      <c r="BJ29" s="129"/>
      <c r="BK29" s="129"/>
      <c r="BL29" s="129"/>
      <c r="BM29" s="129"/>
      <c r="BN29" s="129"/>
      <c r="BO29" s="68"/>
      <c r="BP29" s="130"/>
      <c r="BQ29" s="68" t="str">
        <f t="shared" si="25"/>
        <v/>
      </c>
      <c r="BR29" s="134"/>
      <c r="BS29" s="125"/>
      <c r="BT29" s="135"/>
      <c r="BU29" s="125"/>
      <c r="BV29" s="135"/>
      <c r="BW29" s="125"/>
      <c r="BX29" s="135"/>
      <c r="BY29" s="125"/>
      <c r="BZ29" s="136"/>
      <c r="CA29" s="68"/>
      <c r="CB29" s="68"/>
      <c r="CC29" s="68"/>
      <c r="CD29" s="130"/>
      <c r="CE29" s="68" t="str">
        <f t="shared" si="49"/>
        <v/>
      </c>
      <c r="CF29" s="134"/>
      <c r="CG29" s="125"/>
      <c r="CH29" s="125"/>
      <c r="CI29" s="125"/>
      <c r="CJ29" s="125"/>
      <c r="CK29" s="136"/>
      <c r="CL29" s="68"/>
      <c r="CM29" s="68"/>
      <c r="CN29" s="68"/>
      <c r="CO29" s="130"/>
      <c r="CP29" s="68"/>
      <c r="CQ29" s="134"/>
    </row>
    <row r="30" hidden="1" outlineLevel="1">
      <c r="A30" s="137">
        <f t="shared" si="99"/>
        <v>45300</v>
      </c>
      <c r="B30" s="119">
        <f t="shared" si="111"/>
        <v>0</v>
      </c>
      <c r="C30" s="120" t="str">
        <f t="shared" si="10"/>
        <v/>
      </c>
      <c r="D30" s="68">
        <f t="shared" si="101"/>
        <v>0</v>
      </c>
      <c r="E30" s="120" t="str">
        <f t="shared" si="11"/>
        <v/>
      </c>
      <c r="F30" s="68">
        <f t="shared" si="102"/>
        <v>0</v>
      </c>
      <c r="G30" s="120" t="str">
        <f t="shared" si="12"/>
        <v/>
      </c>
      <c r="H30" s="121">
        <f t="shared" si="103"/>
        <v>0</v>
      </c>
      <c r="I30" s="122">
        <f t="shared" si="104"/>
        <v>0</v>
      </c>
      <c r="J30" s="75">
        <f t="shared" ref="J30:M30" si="112">AB30+AS30+BJ30</f>
        <v>0</v>
      </c>
      <c r="K30" s="76">
        <f t="shared" si="112"/>
        <v>0</v>
      </c>
      <c r="L30" s="76">
        <f t="shared" si="112"/>
        <v>0</v>
      </c>
      <c r="M30" s="76">
        <f t="shared" si="112"/>
        <v>0</v>
      </c>
      <c r="N30" s="123"/>
      <c r="O30" s="123" t="str">
        <f t="shared" si="106"/>
        <v/>
      </c>
      <c r="P30" s="94">
        <f t="shared" si="28"/>
        <v>0</v>
      </c>
      <c r="Q30" s="68" t="str">
        <f t="shared" si="44"/>
        <v/>
      </c>
      <c r="R30" s="124"/>
      <c r="S30" s="125"/>
      <c r="T30" s="125"/>
      <c r="U30" s="126" t="str">
        <f t="shared" ref="U30:U39" si="114">IFERROR(V30/S30,"")</f>
        <v/>
      </c>
      <c r="V30" s="125"/>
      <c r="W30" s="126" t="str">
        <f t="shared" si="15"/>
        <v/>
      </c>
      <c r="X30" s="125"/>
      <c r="Y30" s="127" t="str">
        <f t="shared" si="16"/>
        <v/>
      </c>
      <c r="Z30" s="125">
        <v>0.0</v>
      </c>
      <c r="AA30" s="128">
        <v>0.0</v>
      </c>
      <c r="AB30" s="129"/>
      <c r="AC30" s="129"/>
      <c r="AD30" s="129"/>
      <c r="AE30" s="129"/>
      <c r="AF30" s="129"/>
      <c r="AG30" s="68"/>
      <c r="AH30" s="130"/>
      <c r="AI30" s="68" t="str">
        <f t="shared" si="30"/>
        <v/>
      </c>
      <c r="AJ30" s="131"/>
      <c r="AK30" s="125"/>
      <c r="AL30" s="125"/>
      <c r="AM30" s="126" t="str">
        <f t="shared" ref="AM30:AM32" si="115">IFERROR(AN30/AK30,"")</f>
        <v/>
      </c>
      <c r="AN30" s="125"/>
      <c r="AO30" s="126" t="str">
        <f t="shared" si="18"/>
        <v/>
      </c>
      <c r="AP30" s="125"/>
      <c r="AQ30" s="127" t="str">
        <f t="shared" si="19"/>
        <v/>
      </c>
      <c r="AR30" s="125">
        <v>0.0</v>
      </c>
      <c r="AS30" s="128">
        <v>0.0</v>
      </c>
      <c r="AT30" s="129"/>
      <c r="AU30" s="129"/>
      <c r="AV30" s="129"/>
      <c r="AW30" s="129"/>
      <c r="AX30" s="129"/>
      <c r="AY30" s="68"/>
      <c r="AZ30" s="130"/>
      <c r="BA30" s="68" t="str">
        <f t="shared" si="32"/>
        <v/>
      </c>
      <c r="BB30" s="125"/>
      <c r="BC30" s="126" t="str">
        <f t="shared" ref="BC30:BC39" si="116">IFERROR(BD30/BB30,"")</f>
        <v/>
      </c>
      <c r="BD30" s="125"/>
      <c r="BE30" s="126" t="str">
        <f t="shared" si="22"/>
        <v/>
      </c>
      <c r="BF30" s="125"/>
      <c r="BG30" s="127" t="str">
        <f t="shared" si="23"/>
        <v/>
      </c>
      <c r="BH30" s="125"/>
      <c r="BI30" s="132">
        <f t="shared" si="107"/>
        <v>0</v>
      </c>
      <c r="BJ30" s="129"/>
      <c r="BK30" s="129"/>
      <c r="BL30" s="129"/>
      <c r="BM30" s="129"/>
      <c r="BN30" s="129"/>
      <c r="BO30" s="68"/>
      <c r="BP30" s="130"/>
      <c r="BQ30" s="68" t="str">
        <f t="shared" si="25"/>
        <v/>
      </c>
      <c r="BR30" s="134"/>
      <c r="BS30" s="125"/>
      <c r="BT30" s="135"/>
      <c r="BU30" s="125"/>
      <c r="BV30" s="135"/>
      <c r="BW30" s="125"/>
      <c r="BX30" s="135"/>
      <c r="BY30" s="125"/>
      <c r="BZ30" s="136"/>
      <c r="CA30" s="68"/>
      <c r="CB30" s="68"/>
      <c r="CC30" s="68"/>
      <c r="CD30" s="130"/>
      <c r="CE30" s="68" t="str">
        <f t="shared" si="49"/>
        <v/>
      </c>
      <c r="CF30" s="134"/>
      <c r="CG30" s="125"/>
      <c r="CH30" s="125"/>
      <c r="CI30" s="125"/>
      <c r="CJ30" s="125"/>
      <c r="CK30" s="136"/>
      <c r="CL30" s="68"/>
      <c r="CM30" s="68"/>
      <c r="CN30" s="68"/>
      <c r="CO30" s="130"/>
      <c r="CP30" s="68"/>
      <c r="CQ30" s="134"/>
    </row>
    <row r="31" hidden="1" outlineLevel="1">
      <c r="A31" s="137">
        <f>A33+1</f>
        <v>45299</v>
      </c>
      <c r="B31" s="119">
        <f>S31+AK31+BB31+BS31</f>
        <v>0</v>
      </c>
      <c r="C31" s="120" t="str">
        <f t="shared" si="10"/>
        <v/>
      </c>
      <c r="D31" s="68">
        <f t="shared" si="101"/>
        <v>0</v>
      </c>
      <c r="E31" s="120" t="str">
        <f t="shared" si="11"/>
        <v/>
      </c>
      <c r="F31" s="68">
        <f t="shared" si="102"/>
        <v>0</v>
      </c>
      <c r="G31" s="120" t="str">
        <f t="shared" si="12"/>
        <v/>
      </c>
      <c r="H31" s="121">
        <f t="shared" si="103"/>
        <v>0</v>
      </c>
      <c r="I31" s="122">
        <f t="shared" si="104"/>
        <v>0</v>
      </c>
      <c r="J31" s="75">
        <f t="shared" ref="J31:M31" si="113">AB31+AS31+BJ31</f>
        <v>0</v>
      </c>
      <c r="K31" s="76">
        <f t="shared" si="113"/>
        <v>0</v>
      </c>
      <c r="L31" s="76">
        <f t="shared" si="113"/>
        <v>0</v>
      </c>
      <c r="M31" s="76">
        <f t="shared" si="113"/>
        <v>0</v>
      </c>
      <c r="N31" s="123"/>
      <c r="O31" s="52" t="str">
        <f t="shared" si="106"/>
        <v/>
      </c>
      <c r="P31" s="94">
        <f t="shared" si="28"/>
        <v>0</v>
      </c>
      <c r="Q31" s="68" t="str">
        <f t="shared" si="44"/>
        <v/>
      </c>
      <c r="R31" s="124"/>
      <c r="S31" s="125"/>
      <c r="T31" s="125"/>
      <c r="U31" s="126" t="str">
        <f t="shared" si="114"/>
        <v/>
      </c>
      <c r="V31" s="125"/>
      <c r="W31" s="126" t="str">
        <f t="shared" si="15"/>
        <v/>
      </c>
      <c r="X31" s="125"/>
      <c r="Y31" s="127" t="str">
        <f t="shared" si="16"/>
        <v/>
      </c>
      <c r="Z31" s="125">
        <v>0.0</v>
      </c>
      <c r="AA31" s="128">
        <v>0.0</v>
      </c>
      <c r="AB31" s="129"/>
      <c r="AC31" s="129"/>
      <c r="AD31" s="129"/>
      <c r="AE31" s="129"/>
      <c r="AF31" s="129"/>
      <c r="AG31" s="68"/>
      <c r="AH31" s="130"/>
      <c r="AI31" s="68" t="str">
        <f t="shared" si="30"/>
        <v/>
      </c>
      <c r="AJ31" s="131"/>
      <c r="AK31" s="125"/>
      <c r="AL31" s="125"/>
      <c r="AM31" s="126" t="str">
        <f t="shared" si="115"/>
        <v/>
      </c>
      <c r="AN31" s="125"/>
      <c r="AO31" s="126" t="str">
        <f t="shared" si="18"/>
        <v/>
      </c>
      <c r="AP31" s="125"/>
      <c r="AQ31" s="127" t="str">
        <f t="shared" si="19"/>
        <v/>
      </c>
      <c r="AR31" s="125">
        <v>0.0</v>
      </c>
      <c r="AS31" s="128">
        <v>0.0</v>
      </c>
      <c r="AT31" s="129"/>
      <c r="AU31" s="129"/>
      <c r="AV31" s="129"/>
      <c r="AW31" s="129"/>
      <c r="AX31" s="129"/>
      <c r="AY31" s="68"/>
      <c r="AZ31" s="130"/>
      <c r="BA31" s="68" t="str">
        <f t="shared" si="32"/>
        <v/>
      </c>
      <c r="BB31" s="125"/>
      <c r="BC31" s="126" t="str">
        <f t="shared" si="116"/>
        <v/>
      </c>
      <c r="BD31" s="125"/>
      <c r="BE31" s="126" t="str">
        <f t="shared" si="22"/>
        <v/>
      </c>
      <c r="BF31" s="125"/>
      <c r="BG31" s="127" t="str">
        <f t="shared" si="23"/>
        <v/>
      </c>
      <c r="BH31" s="125"/>
      <c r="BI31" s="132">
        <f t="shared" si="107"/>
        <v>0</v>
      </c>
      <c r="BJ31" s="129"/>
      <c r="BK31" s="129"/>
      <c r="BL31" s="133"/>
      <c r="BM31" s="129"/>
      <c r="BN31" s="129"/>
      <c r="BO31" s="68"/>
      <c r="BP31" s="130"/>
      <c r="BQ31" s="68" t="str">
        <f t="shared" si="25"/>
        <v/>
      </c>
      <c r="BR31" s="134"/>
      <c r="BS31" s="125"/>
      <c r="BT31" s="135"/>
      <c r="BU31" s="125"/>
      <c r="BV31" s="135"/>
      <c r="BW31" s="125"/>
      <c r="BX31" s="135"/>
      <c r="BY31" s="125"/>
      <c r="BZ31" s="136"/>
      <c r="CA31" s="68"/>
      <c r="CB31" s="68"/>
      <c r="CC31" s="68"/>
      <c r="CD31" s="130"/>
      <c r="CE31" s="68" t="str">
        <f t="shared" si="49"/>
        <v/>
      </c>
      <c r="CF31" s="134"/>
      <c r="CG31" s="125"/>
      <c r="CH31" s="125"/>
      <c r="CI31" s="125"/>
      <c r="CJ31" s="125"/>
      <c r="CK31" s="136"/>
      <c r="CL31" s="68"/>
      <c r="CM31" s="68"/>
      <c r="CN31" s="68"/>
      <c r="CO31" s="130"/>
      <c r="CP31" s="68"/>
      <c r="CQ31" s="134"/>
    </row>
    <row r="32" collapsed="1">
      <c r="A32" s="70" t="s">
        <v>41</v>
      </c>
      <c r="B32" s="71">
        <f>SUM(B33:B39)</f>
        <v>6</v>
      </c>
      <c r="C32" s="72">
        <f t="shared" si="10"/>
        <v>1</v>
      </c>
      <c r="D32" s="71">
        <f>SUM(D33:D39)</f>
        <v>6</v>
      </c>
      <c r="E32" s="72">
        <f t="shared" si="11"/>
        <v>1</v>
      </c>
      <c r="F32" s="71">
        <f>SUM(F33:F39)</f>
        <v>6</v>
      </c>
      <c r="G32" s="72">
        <f t="shared" si="12"/>
        <v>0.1666666667</v>
      </c>
      <c r="H32" s="73">
        <f t="shared" ref="H32:I32" si="117">SUM(H33:H39)</f>
        <v>1</v>
      </c>
      <c r="I32" s="74">
        <f t="shared" si="117"/>
        <v>65000</v>
      </c>
      <c r="J32" s="75">
        <f t="shared" ref="J32:N32" si="118">AB32+AS32+BJ32</f>
        <v>0</v>
      </c>
      <c r="K32" s="76">
        <f t="shared" si="118"/>
        <v>6000</v>
      </c>
      <c r="L32" s="76">
        <f t="shared" si="118"/>
        <v>19000</v>
      </c>
      <c r="M32" s="76">
        <f t="shared" si="118"/>
        <v>40000</v>
      </c>
      <c r="N32" s="76">
        <f t="shared" si="118"/>
        <v>0</v>
      </c>
      <c r="O32" s="138"/>
      <c r="P32" s="94">
        <f t="shared" si="28"/>
        <v>13000</v>
      </c>
      <c r="Q32" s="54">
        <f t="shared" si="44"/>
        <v>0.1666666667</v>
      </c>
      <c r="R32" s="79">
        <v>1.0</v>
      </c>
      <c r="S32" s="71">
        <f>SUM(S33:S39)</f>
        <v>0</v>
      </c>
      <c r="T32" s="71"/>
      <c r="U32" s="72" t="str">
        <f t="shared" si="114"/>
        <v/>
      </c>
      <c r="V32" s="71">
        <f>SUM(V33:V39)</f>
        <v>0</v>
      </c>
      <c r="W32" s="72" t="str">
        <f t="shared" si="15"/>
        <v/>
      </c>
      <c r="X32" s="71">
        <f>SUM(X33:X39)</f>
        <v>0</v>
      </c>
      <c r="Y32" s="80" t="str">
        <f t="shared" si="16"/>
        <v/>
      </c>
      <c r="Z32" s="71">
        <f t="shared" ref="Z32:AF32" si="119">SUM(Z33:Z39)</f>
        <v>0</v>
      </c>
      <c r="AA32" s="74">
        <f t="shared" si="119"/>
        <v>65000</v>
      </c>
      <c r="AB32" s="81">
        <f t="shared" si="119"/>
        <v>0</v>
      </c>
      <c r="AC32" s="81">
        <f t="shared" si="119"/>
        <v>6000</v>
      </c>
      <c r="AD32" s="81">
        <f t="shared" si="119"/>
        <v>19000</v>
      </c>
      <c r="AE32" s="81">
        <f t="shared" si="119"/>
        <v>40000</v>
      </c>
      <c r="AF32" s="81">
        <f t="shared" si="119"/>
        <v>0</v>
      </c>
      <c r="AG32" s="139">
        <f>IFERROR(AH32/AA32,"")</f>
        <v>0.2</v>
      </c>
      <c r="AH32" s="140">
        <f>SUM(AH33:AH39)</f>
        <v>13000</v>
      </c>
      <c r="AI32" s="54" t="str">
        <f t="shared" si="30"/>
        <v/>
      </c>
      <c r="AJ32" s="84"/>
      <c r="AK32" s="71">
        <f>SUM(AK33:AK39)</f>
        <v>0</v>
      </c>
      <c r="AL32" s="71"/>
      <c r="AM32" s="72" t="str">
        <f t="shared" si="115"/>
        <v/>
      </c>
      <c r="AN32" s="54">
        <f>SUM(AN33:AN39)</f>
        <v>0</v>
      </c>
      <c r="AO32" s="72" t="str">
        <f t="shared" si="18"/>
        <v/>
      </c>
      <c r="AP32" s="54">
        <f>SUM(AP33:AP39)</f>
        <v>0</v>
      </c>
      <c r="AQ32" s="80" t="str">
        <f t="shared" si="19"/>
        <v/>
      </c>
      <c r="AR32" s="74">
        <f t="shared" ref="AR32:AX32" si="120">SUM(AR33:AR39)</f>
        <v>0</v>
      </c>
      <c r="AS32" s="74">
        <f t="shared" si="120"/>
        <v>0</v>
      </c>
      <c r="AT32" s="139">
        <f t="shared" si="120"/>
        <v>0</v>
      </c>
      <c r="AU32" s="139">
        <f t="shared" si="120"/>
        <v>0</v>
      </c>
      <c r="AV32" s="139">
        <f t="shared" si="120"/>
        <v>0</v>
      </c>
      <c r="AW32" s="139">
        <f t="shared" si="120"/>
        <v>0</v>
      </c>
      <c r="AX32" s="139">
        <f t="shared" si="120"/>
        <v>0</v>
      </c>
      <c r="AY32" s="139" t="str">
        <f>IFERROR(AZ32/AS32,"")</f>
        <v/>
      </c>
      <c r="AZ32" s="139">
        <f>SUM(AZ33:AZ39)</f>
        <v>0</v>
      </c>
      <c r="BA32" s="54" t="str">
        <f t="shared" si="32"/>
        <v/>
      </c>
      <c r="BB32" s="71">
        <f>SUM(BB33:BB39)</f>
        <v>6</v>
      </c>
      <c r="BC32" s="72">
        <f t="shared" si="116"/>
        <v>1</v>
      </c>
      <c r="BD32" s="71">
        <f>SUM(BD33:BD39)</f>
        <v>6</v>
      </c>
      <c r="BE32" s="72">
        <f t="shared" si="22"/>
        <v>1</v>
      </c>
      <c r="BF32" s="71">
        <f>SUM(BF33:BF39)</f>
        <v>6</v>
      </c>
      <c r="BG32" s="80">
        <f t="shared" si="23"/>
        <v>0.1666666667</v>
      </c>
      <c r="BH32" s="71">
        <f t="shared" ref="BH32:BN32" si="121">SUM(BH33:BH39)</f>
        <v>1</v>
      </c>
      <c r="BI32" s="86">
        <f t="shared" si="121"/>
        <v>0</v>
      </c>
      <c r="BJ32" s="81">
        <f t="shared" si="121"/>
        <v>0</v>
      </c>
      <c r="BK32" s="139">
        <f t="shared" si="121"/>
        <v>0</v>
      </c>
      <c r="BL32" s="139">
        <f t="shared" si="121"/>
        <v>0</v>
      </c>
      <c r="BM32" s="139">
        <f t="shared" si="121"/>
        <v>0</v>
      </c>
      <c r="BN32" s="139">
        <f t="shared" si="121"/>
        <v>0</v>
      </c>
      <c r="BO32" s="139" t="str">
        <f>IFERROR(BP32/BI32,"")</f>
        <v/>
      </c>
      <c r="BP32" s="140">
        <f>SUM(BP33:BP39)</f>
        <v>0</v>
      </c>
      <c r="BQ32" s="54">
        <f t="shared" si="25"/>
        <v>0.1666666667</v>
      </c>
      <c r="BR32" s="82"/>
      <c r="BS32" s="71">
        <f>SUM(BS37:BS39)</f>
        <v>0</v>
      </c>
      <c r="BT32" s="141" t="str">
        <f>IFERROR(BU32/BS32,"")</f>
        <v/>
      </c>
      <c r="BU32" s="71">
        <f>SUM(BU37:BU39)</f>
        <v>0</v>
      </c>
      <c r="BV32" s="141" t="str">
        <f>IFERROR(BW32/BU32,"")</f>
        <v/>
      </c>
      <c r="BW32" s="71">
        <f>SUM(BW37:BW39)</f>
        <v>0</v>
      </c>
      <c r="BX32" s="141" t="str">
        <f>IFERROR(BY32/BW32,"")</f>
        <v/>
      </c>
      <c r="BY32" s="71">
        <f t="shared" ref="BY32:BZ32" si="122">SUM(BY37:BY39)</f>
        <v>0</v>
      </c>
      <c r="BZ32" s="86">
        <f t="shared" si="122"/>
        <v>0</v>
      </c>
      <c r="CA32" s="71"/>
      <c r="CB32" s="82"/>
      <c r="CC32" s="142" t="str">
        <f>IFERROR(BY32/BU32,"")</f>
        <v/>
      </c>
      <c r="CD32" s="82"/>
      <c r="CE32" s="83"/>
      <c r="CF32" s="82"/>
      <c r="CG32" s="71"/>
      <c r="CH32" s="71"/>
      <c r="CI32" s="71"/>
      <c r="CJ32" s="71"/>
      <c r="CK32" s="71"/>
      <c r="CL32" s="71"/>
      <c r="CM32" s="82"/>
      <c r="CN32" s="82"/>
      <c r="CO32" s="83"/>
      <c r="CP32" s="82"/>
      <c r="CQ32" s="85"/>
    </row>
    <row r="33" hidden="1" outlineLevel="1">
      <c r="A33" s="137">
        <f t="shared" ref="A33:A38" si="123">A34+1</f>
        <v>45298</v>
      </c>
      <c r="B33" s="119">
        <f>S33+AK33+BB33+BS31</f>
        <v>0</v>
      </c>
      <c r="C33" s="120" t="str">
        <f t="shared" si="10"/>
        <v/>
      </c>
      <c r="D33" s="119">
        <f t="shared" ref="D33:D39" si="124">V33+AM33+BD33+BU33</f>
        <v>0</v>
      </c>
      <c r="E33" s="120" t="str">
        <f t="shared" si="11"/>
        <v/>
      </c>
      <c r="F33" s="119">
        <f>X33+AO33+BF33+BY33</f>
        <v>0</v>
      </c>
      <c r="G33" s="120" t="str">
        <f t="shared" si="12"/>
        <v/>
      </c>
      <c r="H33" s="121">
        <f t="shared" ref="H33:H39" si="125">Z33+AQ33+BH33+BY33</f>
        <v>0</v>
      </c>
      <c r="I33" s="122">
        <f t="shared" ref="I33:I39" si="126">AA33+AR33+BI33+BZ33+CK33</f>
        <v>0</v>
      </c>
      <c r="J33" s="68"/>
      <c r="K33" s="68"/>
      <c r="L33" s="68"/>
      <c r="M33" s="68"/>
      <c r="N33" s="68"/>
      <c r="O33" s="68" t="str">
        <f t="shared" ref="O33:O39" si="127">IFERROR(P33/I33,"")</f>
        <v/>
      </c>
      <c r="P33" s="130">
        <f t="shared" ref="P33:P39" si="128">AH33+AY33+BP33+CD33</f>
        <v>0</v>
      </c>
      <c r="Q33" s="68" t="str">
        <f t="shared" si="44"/>
        <v/>
      </c>
      <c r="R33" s="134"/>
      <c r="S33" s="125"/>
      <c r="T33" s="125"/>
      <c r="U33" s="126" t="str">
        <f t="shared" si="114"/>
        <v/>
      </c>
      <c r="V33" s="125"/>
      <c r="W33" s="126" t="str">
        <f t="shared" si="15"/>
        <v/>
      </c>
      <c r="X33" s="125"/>
      <c r="Y33" s="127" t="str">
        <f t="shared" si="16"/>
        <v/>
      </c>
      <c r="Z33" s="125">
        <v>0.0</v>
      </c>
      <c r="AA33" s="128">
        <f t="shared" ref="AA33:AA39" si="129">AB33+AC33+AD33+AE33+AF33</f>
        <v>0</v>
      </c>
      <c r="AB33" s="129"/>
      <c r="AC33" s="129"/>
      <c r="AD33" s="129"/>
      <c r="AE33" s="129"/>
      <c r="AF33" s="129"/>
      <c r="AG33" s="60"/>
      <c r="AH33" s="59"/>
      <c r="AI33" s="68" t="str">
        <f t="shared" si="30"/>
        <v/>
      </c>
      <c r="AJ33" s="131"/>
      <c r="AK33" s="125"/>
      <c r="AL33" s="126" t="str">
        <f t="shared" ref="AL33:AL39" si="130">IFERROR(AM33/AK33,"")</f>
        <v/>
      </c>
      <c r="AM33" s="125"/>
      <c r="AN33" s="126" t="str">
        <f t="shared" ref="AN33:AN39" si="131">IFERROR(AO33/AM33,"")</f>
        <v/>
      </c>
      <c r="AO33" s="125"/>
      <c r="AP33" s="126" t="str">
        <f t="shared" ref="AP33:AP39" si="132">IFERROR(AQ33/AO33,"")</f>
        <v/>
      </c>
      <c r="AQ33" s="125"/>
      <c r="AR33" s="132">
        <f t="shared" ref="AR33:AR39" si="133">SUM(AS33:AW33)</f>
        <v>0</v>
      </c>
      <c r="AS33" s="133"/>
      <c r="AT33" s="68"/>
      <c r="AU33" s="68"/>
      <c r="AV33" s="68"/>
      <c r="AW33" s="68"/>
      <c r="AX33" s="68"/>
      <c r="AY33" s="130"/>
      <c r="AZ33" s="68" t="str">
        <f t="shared" ref="AZ33:AZ39" si="134">IFERROR(AQ33/AM33,"")</f>
        <v/>
      </c>
      <c r="BA33" s="134"/>
      <c r="BB33" s="125"/>
      <c r="BC33" s="126" t="str">
        <f t="shared" si="116"/>
        <v/>
      </c>
      <c r="BD33" s="125"/>
      <c r="BE33" s="135"/>
      <c r="BF33" s="125"/>
      <c r="BG33" s="135"/>
      <c r="BH33" s="125">
        <v>0.0</v>
      </c>
      <c r="BI33" s="136">
        <v>0.0</v>
      </c>
      <c r="BJ33" s="68"/>
      <c r="BK33" s="68"/>
      <c r="BL33" s="68"/>
      <c r="BM33" s="68"/>
      <c r="BN33" s="68"/>
      <c r="BO33" s="68"/>
      <c r="BP33" s="130"/>
      <c r="BQ33" s="68" t="str">
        <f t="shared" si="25"/>
        <v/>
      </c>
      <c r="BR33" s="134"/>
      <c r="BS33" s="125"/>
      <c r="BT33" s="135"/>
      <c r="BU33" s="125"/>
      <c r="BV33" s="135"/>
      <c r="BW33" s="125"/>
      <c r="BX33" s="135"/>
      <c r="BY33" s="125"/>
      <c r="BZ33" s="136"/>
      <c r="CA33" s="68"/>
      <c r="CB33" s="68"/>
      <c r="CC33" s="68"/>
      <c r="CD33" s="130"/>
      <c r="CE33" s="68" t="str">
        <f>IFERROR(BY33/#REF!,"")</f>
        <v/>
      </c>
      <c r="CF33" s="134"/>
      <c r="CG33" s="125"/>
      <c r="CH33" s="125"/>
      <c r="CI33" s="125"/>
      <c r="CJ33" s="125"/>
      <c r="CK33" s="136"/>
      <c r="CL33" s="68"/>
      <c r="CM33" s="68"/>
      <c r="CN33" s="68"/>
      <c r="CO33" s="130"/>
      <c r="CP33" s="68"/>
      <c r="CQ33" s="134"/>
    </row>
    <row r="34" hidden="1" outlineLevel="1">
      <c r="A34" s="137">
        <f t="shared" si="123"/>
        <v>45297</v>
      </c>
      <c r="B34" s="119">
        <f>S34+AK34+BB34+BS33</f>
        <v>0</v>
      </c>
      <c r="C34" s="120" t="str">
        <f t="shared" si="10"/>
        <v/>
      </c>
      <c r="D34" s="119">
        <f t="shared" si="124"/>
        <v>0</v>
      </c>
      <c r="E34" s="120" t="str">
        <f t="shared" si="11"/>
        <v/>
      </c>
      <c r="F34" s="119">
        <f t="shared" ref="F34:F39" si="135">X34+AO34+BF34+BW34</f>
        <v>0</v>
      </c>
      <c r="G34" s="120" t="str">
        <f t="shared" si="12"/>
        <v/>
      </c>
      <c r="H34" s="121">
        <f t="shared" si="125"/>
        <v>0</v>
      </c>
      <c r="I34" s="122">
        <f t="shared" si="126"/>
        <v>59000</v>
      </c>
      <c r="J34" s="68"/>
      <c r="K34" s="68"/>
      <c r="L34" s="68"/>
      <c r="M34" s="68"/>
      <c r="N34" s="68"/>
      <c r="O34" s="68">
        <f t="shared" si="127"/>
        <v>0.1186440678</v>
      </c>
      <c r="P34" s="130">
        <f t="shared" si="128"/>
        <v>7000</v>
      </c>
      <c r="Q34" s="68" t="str">
        <f t="shared" si="44"/>
        <v/>
      </c>
      <c r="R34" s="134"/>
      <c r="S34" s="125"/>
      <c r="T34" s="125"/>
      <c r="U34" s="126" t="str">
        <f t="shared" si="114"/>
        <v/>
      </c>
      <c r="V34" s="125"/>
      <c r="W34" s="126" t="str">
        <f t="shared" si="15"/>
        <v/>
      </c>
      <c r="X34" s="125"/>
      <c r="Y34" s="127" t="str">
        <f t="shared" si="16"/>
        <v/>
      </c>
      <c r="Z34" s="125"/>
      <c r="AA34" s="128">
        <f t="shared" si="129"/>
        <v>59000</v>
      </c>
      <c r="AB34" s="129"/>
      <c r="AC34" s="129"/>
      <c r="AD34" s="133">
        <v>19000.0</v>
      </c>
      <c r="AE34" s="133">
        <v>40000.0</v>
      </c>
      <c r="AF34" s="129"/>
      <c r="AG34" s="60"/>
      <c r="AH34" s="143">
        <v>7000.0</v>
      </c>
      <c r="AI34" s="68" t="str">
        <f t="shared" si="30"/>
        <v/>
      </c>
      <c r="AJ34" s="131"/>
      <c r="AK34" s="125"/>
      <c r="AL34" s="126" t="str">
        <f t="shared" si="130"/>
        <v/>
      </c>
      <c r="AM34" s="125"/>
      <c r="AN34" s="126" t="str">
        <f t="shared" si="131"/>
        <v/>
      </c>
      <c r="AO34" s="125"/>
      <c r="AP34" s="126" t="str">
        <f t="shared" si="132"/>
        <v/>
      </c>
      <c r="AQ34" s="125"/>
      <c r="AR34" s="128">
        <f t="shared" si="133"/>
        <v>0</v>
      </c>
      <c r="AS34" s="122"/>
      <c r="AT34" s="68"/>
      <c r="AU34" s="68"/>
      <c r="AV34" s="68"/>
      <c r="AW34" s="68"/>
      <c r="AX34" s="68"/>
      <c r="AY34" s="130"/>
      <c r="AZ34" s="68" t="str">
        <f t="shared" si="134"/>
        <v/>
      </c>
      <c r="BA34" s="134"/>
      <c r="BB34" s="125"/>
      <c r="BC34" s="126" t="str">
        <f t="shared" si="116"/>
        <v/>
      </c>
      <c r="BD34" s="125"/>
      <c r="BE34" s="135"/>
      <c r="BF34" s="125"/>
      <c r="BG34" s="135"/>
      <c r="BH34" s="144">
        <v>0.0</v>
      </c>
      <c r="BI34" s="136">
        <v>0.0</v>
      </c>
      <c r="BJ34" s="68"/>
      <c r="BK34" s="68"/>
      <c r="BL34" s="68"/>
      <c r="BM34" s="68"/>
      <c r="BN34" s="68"/>
      <c r="BO34" s="68"/>
      <c r="BP34" s="130"/>
      <c r="BQ34" s="68" t="str">
        <f t="shared" si="25"/>
        <v/>
      </c>
      <c r="BR34" s="134"/>
      <c r="BS34" s="125"/>
      <c r="BT34" s="135"/>
      <c r="BU34" s="125"/>
      <c r="BV34" s="135"/>
      <c r="BW34" s="125"/>
      <c r="BX34" s="135"/>
      <c r="BY34" s="125"/>
      <c r="BZ34" s="136"/>
      <c r="CA34" s="68"/>
      <c r="CB34" s="68"/>
      <c r="CC34" s="68"/>
      <c r="CD34" s="130"/>
      <c r="CE34" s="68" t="str">
        <f>IFERROR(BW34/BS33,"")</f>
        <v/>
      </c>
      <c r="CF34" s="134"/>
      <c r="CG34" s="125"/>
      <c r="CH34" s="125"/>
      <c r="CI34" s="125"/>
      <c r="CJ34" s="125"/>
      <c r="CK34" s="136"/>
      <c r="CL34" s="68"/>
      <c r="CM34" s="68"/>
      <c r="CN34" s="68"/>
      <c r="CO34" s="130"/>
      <c r="CP34" s="68"/>
      <c r="CQ34" s="134"/>
    </row>
    <row r="35" hidden="1" outlineLevel="1">
      <c r="A35" s="137">
        <f t="shared" si="123"/>
        <v>45296</v>
      </c>
      <c r="B35" s="119">
        <f t="shared" ref="B35:B39" si="136">S35+AK35+BB35+BS35</f>
        <v>4</v>
      </c>
      <c r="C35" s="120">
        <f t="shared" si="10"/>
        <v>1</v>
      </c>
      <c r="D35" s="119">
        <f t="shared" si="124"/>
        <v>4</v>
      </c>
      <c r="E35" s="120">
        <f t="shared" si="11"/>
        <v>1</v>
      </c>
      <c r="F35" s="119">
        <f t="shared" si="135"/>
        <v>4</v>
      </c>
      <c r="G35" s="120">
        <f t="shared" si="12"/>
        <v>0</v>
      </c>
      <c r="H35" s="121">
        <f t="shared" si="125"/>
        <v>0</v>
      </c>
      <c r="I35" s="122">
        <f t="shared" si="126"/>
        <v>0</v>
      </c>
      <c r="J35" s="68"/>
      <c r="K35" s="68"/>
      <c r="L35" s="68"/>
      <c r="M35" s="68"/>
      <c r="N35" s="68"/>
      <c r="O35" s="68" t="str">
        <f t="shared" si="127"/>
        <v/>
      </c>
      <c r="P35" s="130">
        <f t="shared" si="128"/>
        <v>0</v>
      </c>
      <c r="Q35" s="68">
        <f t="shared" si="44"/>
        <v>0</v>
      </c>
      <c r="R35" s="134"/>
      <c r="S35" s="125"/>
      <c r="T35" s="125"/>
      <c r="U35" s="126" t="str">
        <f t="shared" si="114"/>
        <v/>
      </c>
      <c r="V35" s="125"/>
      <c r="W35" s="126" t="str">
        <f t="shared" si="15"/>
        <v/>
      </c>
      <c r="X35" s="125"/>
      <c r="Y35" s="127" t="str">
        <f t="shared" si="16"/>
        <v/>
      </c>
      <c r="Z35" s="125"/>
      <c r="AA35" s="128">
        <f t="shared" si="129"/>
        <v>0</v>
      </c>
      <c r="AB35" s="129"/>
      <c r="AC35" s="129"/>
      <c r="AD35" s="129"/>
      <c r="AE35" s="129"/>
      <c r="AF35" s="129"/>
      <c r="AG35" s="60"/>
      <c r="AH35" s="59"/>
      <c r="AI35" s="145" t="str">
        <f t="shared" si="30"/>
        <v/>
      </c>
      <c r="AJ35" s="131"/>
      <c r="AK35" s="125"/>
      <c r="AL35" s="126" t="str">
        <f t="shared" si="130"/>
        <v/>
      </c>
      <c r="AM35" s="125"/>
      <c r="AN35" s="126" t="str">
        <f t="shared" si="131"/>
        <v/>
      </c>
      <c r="AO35" s="125"/>
      <c r="AP35" s="126" t="str">
        <f t="shared" si="132"/>
        <v/>
      </c>
      <c r="AQ35" s="125"/>
      <c r="AR35" s="128">
        <f t="shared" si="133"/>
        <v>0</v>
      </c>
      <c r="AS35" s="122"/>
      <c r="AT35" s="68"/>
      <c r="AU35" s="68"/>
      <c r="AV35" s="68"/>
      <c r="AW35" s="68"/>
      <c r="AX35" s="68"/>
      <c r="AY35" s="130"/>
      <c r="AZ35" s="145" t="str">
        <f t="shared" si="134"/>
        <v/>
      </c>
      <c r="BA35" s="134"/>
      <c r="BB35" s="125">
        <v>4.0</v>
      </c>
      <c r="BC35" s="126">
        <f t="shared" si="116"/>
        <v>1</v>
      </c>
      <c r="BD35" s="125">
        <v>4.0</v>
      </c>
      <c r="BE35" s="135"/>
      <c r="BF35" s="125">
        <v>4.0</v>
      </c>
      <c r="BG35" s="135"/>
      <c r="BH35" s="144">
        <v>0.0</v>
      </c>
      <c r="BI35" s="136">
        <v>0.0</v>
      </c>
      <c r="BJ35" s="68"/>
      <c r="BK35" s="68"/>
      <c r="BL35" s="68"/>
      <c r="BM35" s="68"/>
      <c r="BN35" s="68"/>
      <c r="BO35" s="68"/>
      <c r="BP35" s="130"/>
      <c r="BQ35" s="145">
        <f t="shared" si="25"/>
        <v>0</v>
      </c>
      <c r="BR35" s="134"/>
      <c r="BS35" s="125"/>
      <c r="BT35" s="135"/>
      <c r="BU35" s="125"/>
      <c r="BV35" s="135"/>
      <c r="BW35" s="125"/>
      <c r="BX35" s="135"/>
      <c r="BY35" s="125"/>
      <c r="BZ35" s="136"/>
      <c r="CA35" s="68"/>
      <c r="CB35" s="68"/>
      <c r="CC35" s="68"/>
      <c r="CD35" s="130"/>
      <c r="CE35" s="145">
        <v>0.0</v>
      </c>
      <c r="CF35" s="134"/>
      <c r="CG35" s="125"/>
      <c r="CH35" s="125"/>
      <c r="CI35" s="125"/>
      <c r="CJ35" s="125"/>
      <c r="CK35" s="136"/>
      <c r="CL35" s="68"/>
      <c r="CM35" s="68"/>
      <c r="CN35" s="68"/>
      <c r="CO35" s="130"/>
      <c r="CP35" s="68"/>
      <c r="CQ35" s="134"/>
    </row>
    <row r="36" hidden="1" outlineLevel="1">
      <c r="A36" s="137">
        <f t="shared" si="123"/>
        <v>45295</v>
      </c>
      <c r="B36" s="119">
        <f t="shared" si="136"/>
        <v>2</v>
      </c>
      <c r="C36" s="120">
        <f t="shared" si="10"/>
        <v>1</v>
      </c>
      <c r="D36" s="119">
        <f t="shared" si="124"/>
        <v>2</v>
      </c>
      <c r="E36" s="120">
        <f t="shared" si="11"/>
        <v>1</v>
      </c>
      <c r="F36" s="119">
        <f t="shared" si="135"/>
        <v>2</v>
      </c>
      <c r="G36" s="120">
        <f t="shared" si="12"/>
        <v>0.5</v>
      </c>
      <c r="H36" s="121">
        <f t="shared" si="125"/>
        <v>1</v>
      </c>
      <c r="I36" s="122">
        <f t="shared" si="126"/>
        <v>6000</v>
      </c>
      <c r="J36" s="68"/>
      <c r="K36" s="68"/>
      <c r="L36" s="68"/>
      <c r="M36" s="68"/>
      <c r="N36" s="68"/>
      <c r="O36" s="68">
        <f t="shared" si="127"/>
        <v>1</v>
      </c>
      <c r="P36" s="130">
        <f t="shared" si="128"/>
        <v>6000</v>
      </c>
      <c r="Q36" s="68">
        <f t="shared" si="44"/>
        <v>0.5</v>
      </c>
      <c r="R36" s="134"/>
      <c r="S36" s="125"/>
      <c r="T36" s="125"/>
      <c r="U36" s="126" t="str">
        <f t="shared" si="114"/>
        <v/>
      </c>
      <c r="V36" s="125"/>
      <c r="W36" s="126" t="str">
        <f t="shared" si="15"/>
        <v/>
      </c>
      <c r="X36" s="125"/>
      <c r="Y36" s="127" t="str">
        <f t="shared" si="16"/>
        <v/>
      </c>
      <c r="Z36" s="125"/>
      <c r="AA36" s="128">
        <f t="shared" si="129"/>
        <v>6000</v>
      </c>
      <c r="AB36" s="129"/>
      <c r="AC36" s="133">
        <v>6000.0</v>
      </c>
      <c r="AD36" s="129"/>
      <c r="AE36" s="129"/>
      <c r="AF36" s="129"/>
      <c r="AG36" s="60"/>
      <c r="AH36" s="143">
        <v>6000.0</v>
      </c>
      <c r="AI36" s="145" t="str">
        <f t="shared" si="30"/>
        <v/>
      </c>
      <c r="AJ36" s="131"/>
      <c r="AK36" s="125"/>
      <c r="AL36" s="126" t="str">
        <f t="shared" si="130"/>
        <v/>
      </c>
      <c r="AM36" s="125"/>
      <c r="AN36" s="126" t="str">
        <f t="shared" si="131"/>
        <v/>
      </c>
      <c r="AO36" s="125"/>
      <c r="AP36" s="126" t="str">
        <f t="shared" si="132"/>
        <v/>
      </c>
      <c r="AQ36" s="125"/>
      <c r="AR36" s="128">
        <f t="shared" si="133"/>
        <v>0</v>
      </c>
      <c r="AS36" s="122"/>
      <c r="AT36" s="68"/>
      <c r="AU36" s="68"/>
      <c r="AV36" s="68"/>
      <c r="AW36" s="68"/>
      <c r="AX36" s="68"/>
      <c r="AY36" s="130"/>
      <c r="AZ36" s="145" t="str">
        <f t="shared" si="134"/>
        <v/>
      </c>
      <c r="BA36" s="134"/>
      <c r="BB36" s="125">
        <v>2.0</v>
      </c>
      <c r="BC36" s="126">
        <f t="shared" si="116"/>
        <v>1</v>
      </c>
      <c r="BD36" s="125">
        <v>2.0</v>
      </c>
      <c r="BE36" s="135"/>
      <c r="BF36" s="125">
        <v>2.0</v>
      </c>
      <c r="BG36" s="135"/>
      <c r="BH36" s="144">
        <v>1.0</v>
      </c>
      <c r="BI36" s="136">
        <v>0.0</v>
      </c>
      <c r="BJ36" s="68"/>
      <c r="BK36" s="68"/>
      <c r="BL36" s="68"/>
      <c r="BM36" s="68"/>
      <c r="BN36" s="68"/>
      <c r="BO36" s="68"/>
      <c r="BP36" s="130"/>
      <c r="BQ36" s="145">
        <f t="shared" si="25"/>
        <v>0.5</v>
      </c>
      <c r="BR36" s="134"/>
      <c r="BS36" s="125"/>
      <c r="BT36" s="135"/>
      <c r="BU36" s="125"/>
      <c r="BV36" s="135"/>
      <c r="BW36" s="125"/>
      <c r="BX36" s="135"/>
      <c r="BY36" s="125"/>
      <c r="BZ36" s="136"/>
      <c r="CA36" s="68"/>
      <c r="CB36" s="68"/>
      <c r="CC36" s="68"/>
      <c r="CD36" s="130"/>
      <c r="CE36" s="145">
        <v>0.0</v>
      </c>
      <c r="CF36" s="134"/>
      <c r="CG36" s="125"/>
      <c r="CH36" s="125"/>
      <c r="CI36" s="125"/>
      <c r="CJ36" s="125"/>
      <c r="CK36" s="136"/>
      <c r="CL36" s="68"/>
      <c r="CM36" s="68"/>
      <c r="CN36" s="68"/>
      <c r="CO36" s="130"/>
      <c r="CP36" s="145"/>
      <c r="CQ36" s="134"/>
    </row>
    <row r="37" hidden="1" outlineLevel="1">
      <c r="A37" s="137">
        <f t="shared" si="123"/>
        <v>45294</v>
      </c>
      <c r="B37" s="119">
        <f t="shared" si="136"/>
        <v>0</v>
      </c>
      <c r="C37" s="120" t="str">
        <f t="shared" si="10"/>
        <v/>
      </c>
      <c r="D37" s="119">
        <f t="shared" si="124"/>
        <v>0</v>
      </c>
      <c r="E37" s="120" t="str">
        <f t="shared" si="11"/>
        <v/>
      </c>
      <c r="F37" s="119">
        <f t="shared" si="135"/>
        <v>0</v>
      </c>
      <c r="G37" s="120" t="str">
        <f t="shared" si="12"/>
        <v/>
      </c>
      <c r="H37" s="121">
        <f t="shared" si="125"/>
        <v>0</v>
      </c>
      <c r="I37" s="122">
        <f t="shared" si="126"/>
        <v>0</v>
      </c>
      <c r="J37" s="68"/>
      <c r="K37" s="68"/>
      <c r="L37" s="68"/>
      <c r="M37" s="68"/>
      <c r="N37" s="68"/>
      <c r="O37" s="68" t="str">
        <f t="shared" si="127"/>
        <v/>
      </c>
      <c r="P37" s="130">
        <f t="shared" si="128"/>
        <v>0</v>
      </c>
      <c r="Q37" s="68" t="str">
        <f t="shared" si="44"/>
        <v/>
      </c>
      <c r="R37" s="134"/>
      <c r="S37" s="125"/>
      <c r="T37" s="125"/>
      <c r="U37" s="126" t="str">
        <f t="shared" si="114"/>
        <v/>
      </c>
      <c r="V37" s="125">
        <v>0.0</v>
      </c>
      <c r="W37" s="126" t="str">
        <f t="shared" si="15"/>
        <v/>
      </c>
      <c r="X37" s="125"/>
      <c r="Y37" s="127" t="str">
        <f t="shared" si="16"/>
        <v/>
      </c>
      <c r="Z37" s="125">
        <v>0.0</v>
      </c>
      <c r="AA37" s="128">
        <f t="shared" si="129"/>
        <v>0</v>
      </c>
      <c r="AB37" s="129"/>
      <c r="AC37" s="129"/>
      <c r="AD37" s="129"/>
      <c r="AE37" s="129"/>
      <c r="AF37" s="129"/>
      <c r="AG37" s="60"/>
      <c r="AH37" s="59"/>
      <c r="AI37" s="68" t="str">
        <f t="shared" si="30"/>
        <v/>
      </c>
      <c r="AJ37" s="131"/>
      <c r="AK37" s="125"/>
      <c r="AL37" s="126" t="str">
        <f t="shared" si="130"/>
        <v/>
      </c>
      <c r="AM37" s="125"/>
      <c r="AN37" s="126" t="str">
        <f t="shared" si="131"/>
        <v/>
      </c>
      <c r="AO37" s="125"/>
      <c r="AP37" s="126" t="str">
        <f t="shared" si="132"/>
        <v/>
      </c>
      <c r="AQ37" s="125"/>
      <c r="AR37" s="128">
        <f t="shared" si="133"/>
        <v>0</v>
      </c>
      <c r="AS37" s="122"/>
      <c r="AT37" s="68"/>
      <c r="AU37" s="68"/>
      <c r="AV37" s="68"/>
      <c r="AW37" s="68"/>
      <c r="AX37" s="68"/>
      <c r="AY37" s="130"/>
      <c r="AZ37" s="68" t="str">
        <f t="shared" si="134"/>
        <v/>
      </c>
      <c r="BA37" s="134"/>
      <c r="BB37" s="125"/>
      <c r="BC37" s="126" t="str">
        <f t="shared" si="116"/>
        <v/>
      </c>
      <c r="BD37" s="125"/>
      <c r="BE37" s="135"/>
      <c r="BF37" s="125"/>
      <c r="BG37" s="135"/>
      <c r="BH37" s="144">
        <v>0.0</v>
      </c>
      <c r="BI37" s="136">
        <v>0.0</v>
      </c>
      <c r="BJ37" s="68"/>
      <c r="BK37" s="68"/>
      <c r="BL37" s="68"/>
      <c r="BM37" s="68"/>
      <c r="BN37" s="68"/>
      <c r="BO37" s="68"/>
      <c r="BP37" s="130"/>
      <c r="BQ37" s="146" t="str">
        <f t="shared" si="25"/>
        <v/>
      </c>
      <c r="BR37" s="134"/>
      <c r="BS37" s="125"/>
      <c r="BT37" s="135"/>
      <c r="BU37" s="125"/>
      <c r="BV37" s="135"/>
      <c r="BW37" s="125"/>
      <c r="BX37" s="135"/>
      <c r="BY37" s="125"/>
      <c r="BZ37" s="136"/>
      <c r="CA37" s="68"/>
      <c r="CB37" s="68"/>
      <c r="CC37" s="68"/>
      <c r="CD37" s="130"/>
      <c r="CE37" s="68" t="str">
        <f>IFERROR(BW37/BS37,"")</f>
        <v/>
      </c>
      <c r="CF37" s="134"/>
      <c r="CG37" s="125"/>
      <c r="CH37" s="125"/>
      <c r="CI37" s="125"/>
      <c r="CJ37" s="125"/>
      <c r="CK37" s="136"/>
      <c r="CL37" s="68"/>
      <c r="CM37" s="68"/>
      <c r="CN37" s="68"/>
      <c r="CO37" s="130"/>
      <c r="CP37" s="68"/>
      <c r="CQ37" s="134"/>
    </row>
    <row r="38" hidden="1" outlineLevel="1">
      <c r="A38" s="118">
        <f t="shared" si="123"/>
        <v>45293</v>
      </c>
      <c r="B38" s="119">
        <f t="shared" si="136"/>
        <v>0</v>
      </c>
      <c r="C38" s="120" t="str">
        <f t="shared" si="10"/>
        <v/>
      </c>
      <c r="D38" s="119">
        <f t="shared" si="124"/>
        <v>0</v>
      </c>
      <c r="E38" s="120" t="str">
        <f t="shared" si="11"/>
        <v/>
      </c>
      <c r="F38" s="119">
        <f t="shared" si="135"/>
        <v>0</v>
      </c>
      <c r="G38" s="120" t="str">
        <f t="shared" si="12"/>
        <v/>
      </c>
      <c r="H38" s="121">
        <f t="shared" si="125"/>
        <v>0</v>
      </c>
      <c r="I38" s="122">
        <f t="shared" si="126"/>
        <v>0</v>
      </c>
      <c r="J38" s="68"/>
      <c r="K38" s="68"/>
      <c r="L38" s="68"/>
      <c r="M38" s="68"/>
      <c r="N38" s="68"/>
      <c r="O38" s="68" t="str">
        <f t="shared" si="127"/>
        <v/>
      </c>
      <c r="P38" s="130">
        <f t="shared" si="128"/>
        <v>0</v>
      </c>
      <c r="Q38" s="68" t="str">
        <f t="shared" si="44"/>
        <v/>
      </c>
      <c r="R38" s="134"/>
      <c r="S38" s="125"/>
      <c r="T38" s="125"/>
      <c r="U38" s="126" t="str">
        <f t="shared" si="114"/>
        <v/>
      </c>
      <c r="V38" s="125">
        <v>0.0</v>
      </c>
      <c r="W38" s="126" t="str">
        <f t="shared" si="15"/>
        <v/>
      </c>
      <c r="X38" s="125">
        <v>0.0</v>
      </c>
      <c r="Y38" s="127" t="str">
        <f t="shared" si="16"/>
        <v/>
      </c>
      <c r="Z38" s="125">
        <v>0.0</v>
      </c>
      <c r="AA38" s="128">
        <f t="shared" si="129"/>
        <v>0</v>
      </c>
      <c r="AB38" s="60"/>
      <c r="AC38" s="60"/>
      <c r="AD38" s="60"/>
      <c r="AE38" s="60"/>
      <c r="AF38" s="60"/>
      <c r="AG38" s="60"/>
      <c r="AH38" s="59"/>
      <c r="AI38" s="145" t="str">
        <f t="shared" si="30"/>
        <v/>
      </c>
      <c r="AJ38" s="131"/>
      <c r="AK38" s="125"/>
      <c r="AL38" s="126" t="str">
        <f t="shared" si="130"/>
        <v/>
      </c>
      <c r="AM38" s="125"/>
      <c r="AN38" s="126" t="str">
        <f t="shared" si="131"/>
        <v/>
      </c>
      <c r="AO38" s="125"/>
      <c r="AP38" s="126" t="str">
        <f t="shared" si="132"/>
        <v/>
      </c>
      <c r="AQ38" s="125"/>
      <c r="AR38" s="128">
        <f t="shared" si="133"/>
        <v>0</v>
      </c>
      <c r="AS38" s="122"/>
      <c r="AT38" s="68"/>
      <c r="AU38" s="68"/>
      <c r="AV38" s="68"/>
      <c r="AW38" s="68"/>
      <c r="AX38" s="68"/>
      <c r="AY38" s="130"/>
      <c r="AZ38" s="145" t="str">
        <f t="shared" si="134"/>
        <v/>
      </c>
      <c r="BA38" s="134"/>
      <c r="BB38" s="125"/>
      <c r="BC38" s="126" t="str">
        <f t="shared" si="116"/>
        <v/>
      </c>
      <c r="BD38" s="125"/>
      <c r="BE38" s="135"/>
      <c r="BF38" s="125"/>
      <c r="BG38" s="135"/>
      <c r="BH38" s="144">
        <v>0.0</v>
      </c>
      <c r="BI38" s="136">
        <v>0.0</v>
      </c>
      <c r="BJ38" s="68"/>
      <c r="BK38" s="68"/>
      <c r="BL38" s="68"/>
      <c r="BM38" s="68"/>
      <c r="BN38" s="68"/>
      <c r="BO38" s="68"/>
      <c r="BP38" s="130"/>
      <c r="BQ38" s="145" t="str">
        <f t="shared" si="25"/>
        <v/>
      </c>
      <c r="BR38" s="134"/>
      <c r="BS38" s="125"/>
      <c r="BT38" s="135"/>
      <c r="BU38" s="125"/>
      <c r="BV38" s="135"/>
      <c r="BW38" s="125"/>
      <c r="BX38" s="135"/>
      <c r="BY38" s="125"/>
      <c r="BZ38" s="136"/>
      <c r="CA38" s="68"/>
      <c r="CB38" s="68"/>
      <c r="CC38" s="68"/>
      <c r="CD38" s="130"/>
      <c r="CE38" s="145">
        <v>0.0</v>
      </c>
      <c r="CF38" s="134"/>
      <c r="CG38" s="125"/>
      <c r="CH38" s="125"/>
      <c r="CI38" s="125"/>
      <c r="CJ38" s="125"/>
      <c r="CK38" s="136"/>
      <c r="CL38" s="68"/>
      <c r="CM38" s="68"/>
      <c r="CN38" s="68"/>
      <c r="CO38" s="130"/>
      <c r="CP38" s="145"/>
      <c r="CQ38" s="134"/>
    </row>
    <row r="39" hidden="1" outlineLevel="1">
      <c r="A39" s="147">
        <v>45292.0</v>
      </c>
      <c r="B39" s="119">
        <f t="shared" si="136"/>
        <v>0</v>
      </c>
      <c r="C39" s="120" t="str">
        <f t="shared" si="10"/>
        <v/>
      </c>
      <c r="D39" s="119">
        <f t="shared" si="124"/>
        <v>0</v>
      </c>
      <c r="E39" s="120" t="str">
        <f t="shared" si="11"/>
        <v/>
      </c>
      <c r="F39" s="119">
        <f t="shared" si="135"/>
        <v>0</v>
      </c>
      <c r="G39" s="120" t="str">
        <f t="shared" si="12"/>
        <v/>
      </c>
      <c r="H39" s="121">
        <f t="shared" si="125"/>
        <v>0</v>
      </c>
      <c r="I39" s="122">
        <f t="shared" si="126"/>
        <v>0</v>
      </c>
      <c r="J39" s="68"/>
      <c r="K39" s="68"/>
      <c r="L39" s="68"/>
      <c r="M39" s="68"/>
      <c r="N39" s="68"/>
      <c r="O39" s="68" t="str">
        <f t="shared" si="127"/>
        <v/>
      </c>
      <c r="P39" s="130">
        <f t="shared" si="128"/>
        <v>0</v>
      </c>
      <c r="Q39" s="68" t="str">
        <f t="shared" si="44"/>
        <v/>
      </c>
      <c r="R39" s="134"/>
      <c r="S39" s="125">
        <v>0.0</v>
      </c>
      <c r="T39" s="125"/>
      <c r="U39" s="126" t="str">
        <f t="shared" si="114"/>
        <v/>
      </c>
      <c r="V39" s="125">
        <v>0.0</v>
      </c>
      <c r="W39" s="126" t="str">
        <f t="shared" si="15"/>
        <v/>
      </c>
      <c r="X39" s="125">
        <v>0.0</v>
      </c>
      <c r="Y39" s="127" t="str">
        <f t="shared" si="16"/>
        <v/>
      </c>
      <c r="Z39" s="125">
        <v>0.0</v>
      </c>
      <c r="AA39" s="128">
        <f t="shared" si="129"/>
        <v>0</v>
      </c>
      <c r="AB39" s="60"/>
      <c r="AC39" s="60"/>
      <c r="AD39" s="60"/>
      <c r="AE39" s="60"/>
      <c r="AF39" s="60"/>
      <c r="AG39" s="68"/>
      <c r="AH39" s="130"/>
      <c r="AI39" s="68" t="str">
        <f t="shared" si="30"/>
        <v/>
      </c>
      <c r="AJ39" s="131"/>
      <c r="AK39" s="125">
        <v>0.0</v>
      </c>
      <c r="AL39" s="126" t="str">
        <f t="shared" si="130"/>
        <v/>
      </c>
      <c r="AM39" s="125">
        <v>0.0</v>
      </c>
      <c r="AN39" s="126" t="str">
        <f t="shared" si="131"/>
        <v/>
      </c>
      <c r="AO39" s="125"/>
      <c r="AP39" s="126" t="str">
        <f t="shared" si="132"/>
        <v/>
      </c>
      <c r="AQ39" s="125">
        <v>0.0</v>
      </c>
      <c r="AR39" s="128">
        <f t="shared" si="133"/>
        <v>0</v>
      </c>
      <c r="AS39" s="122"/>
      <c r="AT39" s="68"/>
      <c r="AU39" s="68"/>
      <c r="AV39" s="68"/>
      <c r="AW39" s="68"/>
      <c r="AX39" s="68"/>
      <c r="AY39" s="130"/>
      <c r="AZ39" s="68" t="str">
        <f t="shared" si="134"/>
        <v/>
      </c>
      <c r="BA39" s="134"/>
      <c r="BB39" s="125"/>
      <c r="BC39" s="126" t="str">
        <f t="shared" si="116"/>
        <v/>
      </c>
      <c r="BD39" s="125">
        <v>0.0</v>
      </c>
      <c r="BE39" s="135"/>
      <c r="BF39" s="125">
        <v>0.0</v>
      </c>
      <c r="BG39" s="135"/>
      <c r="BH39" s="144">
        <v>0.0</v>
      </c>
      <c r="BI39" s="136">
        <v>0.0</v>
      </c>
      <c r="BJ39" s="68"/>
      <c r="BK39" s="68"/>
      <c r="BL39" s="68"/>
      <c r="BM39" s="68"/>
      <c r="BN39" s="68"/>
      <c r="BO39" s="68"/>
      <c r="BP39" s="130"/>
      <c r="BQ39" s="145" t="str">
        <f t="shared" si="25"/>
        <v/>
      </c>
      <c r="BR39" s="134"/>
      <c r="BS39" s="125"/>
      <c r="BT39" s="135"/>
      <c r="BU39" s="125"/>
      <c r="BV39" s="135"/>
      <c r="BW39" s="125"/>
      <c r="BX39" s="135"/>
      <c r="BY39" s="125"/>
      <c r="BZ39" s="136"/>
      <c r="CA39" s="68"/>
      <c r="CB39" s="68"/>
      <c r="CC39" s="68"/>
      <c r="CD39" s="130"/>
      <c r="CE39" s="68" t="str">
        <f>IFERROR(BW39/BS39,"")</f>
        <v/>
      </c>
      <c r="CF39" s="134"/>
      <c r="CG39" s="125"/>
      <c r="CH39" s="125"/>
      <c r="CI39" s="125"/>
      <c r="CJ39" s="125"/>
      <c r="CK39" s="136"/>
      <c r="CL39" s="68"/>
      <c r="CM39" s="68"/>
      <c r="CN39" s="68"/>
      <c r="CO39" s="130"/>
      <c r="CP39" s="68"/>
      <c r="CQ39" s="134"/>
    </row>
  </sheetData>
  <mergeCells count="6">
    <mergeCell ref="B1:Q1"/>
    <mergeCell ref="S1:AI1"/>
    <mergeCell ref="AK1:AZ1"/>
    <mergeCell ref="BB1:BQ1"/>
    <mergeCell ref="BS1:CE1"/>
    <mergeCell ref="CG1:C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3" max="3" width="5.88"/>
  </cols>
  <sheetData>
    <row r="1">
      <c r="A1" s="148"/>
      <c r="B1" s="149"/>
      <c r="C1" s="150"/>
      <c r="D1" s="151" t="s">
        <v>42</v>
      </c>
      <c r="E1" s="152" t="s">
        <v>43</v>
      </c>
      <c r="F1" s="153" t="s">
        <v>44</v>
      </c>
    </row>
    <row r="2">
      <c r="A2" s="154" t="s">
        <v>45</v>
      </c>
      <c r="B2" s="155" t="s">
        <v>46</v>
      </c>
      <c r="C2" s="156">
        <v>0.5</v>
      </c>
      <c r="D2" s="157">
        <f t="shared" ref="D2:D5" si="1">D3/C2</f>
        <v>266.6666667</v>
      </c>
      <c r="E2" s="157">
        <f t="shared" ref="E2:E5" si="2">E3/C2</f>
        <v>400</v>
      </c>
      <c r="F2" s="157">
        <f t="shared" ref="F2:F5" si="3">F3/C2</f>
        <v>800</v>
      </c>
    </row>
    <row r="3">
      <c r="A3" s="158"/>
      <c r="B3" s="159" t="s">
        <v>47</v>
      </c>
      <c r="C3" s="156">
        <v>0.5</v>
      </c>
      <c r="D3" s="157">
        <f t="shared" si="1"/>
        <v>133.3333333</v>
      </c>
      <c r="E3" s="157">
        <f t="shared" si="2"/>
        <v>200</v>
      </c>
      <c r="F3" s="157">
        <f t="shared" si="3"/>
        <v>400</v>
      </c>
    </row>
    <row r="4">
      <c r="A4" s="158"/>
      <c r="B4" s="155" t="s">
        <v>48</v>
      </c>
      <c r="C4" s="156">
        <v>0.6</v>
      </c>
      <c r="D4" s="157">
        <f t="shared" si="1"/>
        <v>66.66666667</v>
      </c>
      <c r="E4" s="157">
        <f t="shared" si="2"/>
        <v>100</v>
      </c>
      <c r="F4" s="157">
        <f t="shared" si="3"/>
        <v>200</v>
      </c>
    </row>
    <row r="5">
      <c r="A5" s="158"/>
      <c r="B5" s="155" t="s">
        <v>49</v>
      </c>
      <c r="C5" s="156">
        <v>0.25</v>
      </c>
      <c r="D5" s="157">
        <f t="shared" si="1"/>
        <v>40</v>
      </c>
      <c r="E5" s="157">
        <f t="shared" si="2"/>
        <v>60</v>
      </c>
      <c r="F5" s="157">
        <f t="shared" si="3"/>
        <v>120</v>
      </c>
    </row>
    <row r="6">
      <c r="A6" s="158"/>
      <c r="B6" s="160" t="s">
        <v>50</v>
      </c>
      <c r="C6" s="161"/>
      <c r="D6" s="162">
        <v>10.0</v>
      </c>
      <c r="E6" s="162">
        <v>15.0</v>
      </c>
      <c r="F6" s="162">
        <v>30.0</v>
      </c>
    </row>
    <row r="7">
      <c r="A7" s="158"/>
      <c r="B7" s="163" t="s">
        <v>51</v>
      </c>
      <c r="C7" s="161"/>
      <c r="D7" s="164">
        <v>18000.0</v>
      </c>
      <c r="E7" s="164">
        <v>18000.0</v>
      </c>
      <c r="F7" s="164">
        <v>18000.0</v>
      </c>
    </row>
    <row r="8">
      <c r="A8" s="165"/>
      <c r="B8" s="163" t="s">
        <v>52</v>
      </c>
      <c r="C8" s="161"/>
      <c r="D8" s="166">
        <f t="shared" ref="D8:F8" si="4">D6*D7</f>
        <v>180000</v>
      </c>
      <c r="E8" s="167">
        <f t="shared" si="4"/>
        <v>270000</v>
      </c>
      <c r="F8" s="168">
        <f t="shared" si="4"/>
        <v>540000</v>
      </c>
    </row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7.75"/>
  </cols>
  <sheetData>
    <row r="2">
      <c r="B2" s="169" t="s">
        <v>53</v>
      </c>
      <c r="C2" s="170"/>
      <c r="D2" s="171"/>
    </row>
    <row r="3">
      <c r="B3" s="172" t="s">
        <v>54</v>
      </c>
      <c r="D3" s="173"/>
    </row>
    <row r="4">
      <c r="B4" s="174" t="s">
        <v>55</v>
      </c>
      <c r="C4" s="175">
        <v>100.0</v>
      </c>
      <c r="D4" s="176" t="s">
        <v>56</v>
      </c>
    </row>
    <row r="5">
      <c r="B5" s="177" t="s">
        <v>57</v>
      </c>
      <c r="C5" s="178">
        <v>20.0</v>
      </c>
      <c r="D5" s="179">
        <f t="shared" ref="D5:D13" si="1">IFERROR(C5/$C$4,"")</f>
        <v>0.2</v>
      </c>
    </row>
    <row r="6">
      <c r="B6" s="177" t="s">
        <v>58</v>
      </c>
      <c r="C6" s="178">
        <v>10.0</v>
      </c>
      <c r="D6" s="179">
        <f t="shared" si="1"/>
        <v>0.1</v>
      </c>
    </row>
    <row r="7">
      <c r="B7" s="177" t="s">
        <v>59</v>
      </c>
      <c r="C7" s="178">
        <v>33.0</v>
      </c>
      <c r="D7" s="179">
        <f t="shared" si="1"/>
        <v>0.33</v>
      </c>
    </row>
    <row r="8">
      <c r="B8" s="177" t="s">
        <v>60</v>
      </c>
      <c r="C8" s="178">
        <v>21.0</v>
      </c>
      <c r="D8" s="179">
        <f t="shared" si="1"/>
        <v>0.21</v>
      </c>
    </row>
    <row r="9">
      <c r="B9" s="177" t="s">
        <v>61</v>
      </c>
      <c r="C9" s="178">
        <v>1.0</v>
      </c>
      <c r="D9" s="179">
        <f t="shared" si="1"/>
        <v>0.01</v>
      </c>
    </row>
    <row r="10">
      <c r="B10" s="177" t="s">
        <v>62</v>
      </c>
      <c r="C10" s="178">
        <v>7.0</v>
      </c>
      <c r="D10" s="179">
        <f t="shared" si="1"/>
        <v>0.07</v>
      </c>
    </row>
    <row r="11">
      <c r="B11" s="177" t="s">
        <v>63</v>
      </c>
      <c r="C11" s="178">
        <v>2.0</v>
      </c>
      <c r="D11" s="179">
        <f t="shared" si="1"/>
        <v>0.02</v>
      </c>
    </row>
    <row r="12">
      <c r="B12" s="177" t="s">
        <v>64</v>
      </c>
      <c r="C12" s="178">
        <v>1.0</v>
      </c>
      <c r="D12" s="179">
        <f t="shared" si="1"/>
        <v>0.01</v>
      </c>
    </row>
    <row r="13">
      <c r="B13" s="177" t="s">
        <v>65</v>
      </c>
      <c r="C13" s="178">
        <v>5.0</v>
      </c>
      <c r="D13" s="179">
        <f t="shared" si="1"/>
        <v>0.05</v>
      </c>
    </row>
    <row r="14">
      <c r="B14" s="180" t="s">
        <v>66</v>
      </c>
      <c r="C14" s="181">
        <f t="shared" ref="C14:D14" si="2">SUM(C5:C13)</f>
        <v>100</v>
      </c>
      <c r="D14" s="182">
        <f t="shared" si="2"/>
        <v>1</v>
      </c>
    </row>
    <row r="15">
      <c r="B15" s="183" t="s">
        <v>67</v>
      </c>
      <c r="C15" s="184"/>
      <c r="D15" s="185"/>
    </row>
    <row r="16">
      <c r="B16" s="174" t="s">
        <v>68</v>
      </c>
      <c r="C16" s="175">
        <v>300.0</v>
      </c>
      <c r="D16" s="176" t="s">
        <v>56</v>
      </c>
    </row>
    <row r="17">
      <c r="B17" s="177" t="s">
        <v>69</v>
      </c>
      <c r="C17" s="178">
        <v>40.0</v>
      </c>
      <c r="D17" s="179">
        <f t="shared" ref="D17:D21" si="3">IFERROR(C17/$C$16,"")</f>
        <v>0.1333333333</v>
      </c>
    </row>
    <row r="18">
      <c r="B18" s="177" t="s">
        <v>70</v>
      </c>
      <c r="C18" s="178">
        <v>35.0</v>
      </c>
      <c r="D18" s="179">
        <f t="shared" si="3"/>
        <v>0.1166666667</v>
      </c>
    </row>
    <row r="19">
      <c r="B19" s="177" t="s">
        <v>71</v>
      </c>
      <c r="C19" s="178">
        <v>45.0</v>
      </c>
      <c r="D19" s="179">
        <f t="shared" si="3"/>
        <v>0.15</v>
      </c>
    </row>
    <row r="20">
      <c r="B20" s="177" t="s">
        <v>72</v>
      </c>
      <c r="C20" s="178">
        <v>130.0</v>
      </c>
      <c r="D20" s="179">
        <f t="shared" si="3"/>
        <v>0.4333333333</v>
      </c>
    </row>
    <row r="21">
      <c r="B21" s="177" t="s">
        <v>73</v>
      </c>
      <c r="C21" s="178">
        <v>50.0</v>
      </c>
      <c r="D21" s="179">
        <f t="shared" si="3"/>
        <v>0.1666666667</v>
      </c>
    </row>
    <row r="22">
      <c r="B22" s="180" t="s">
        <v>66</v>
      </c>
      <c r="C22" s="186">
        <f t="shared" ref="C22:D22" si="4">SUM(C17:C21)</f>
        <v>300</v>
      </c>
      <c r="D22" s="187">
        <f t="shared" si="4"/>
        <v>1</v>
      </c>
    </row>
  </sheetData>
  <mergeCells count="3">
    <mergeCell ref="B2:D2"/>
    <mergeCell ref="B3:D3"/>
    <mergeCell ref="B15:D15"/>
  </mergeCells>
  <drawing r:id="rId1"/>
</worksheet>
</file>
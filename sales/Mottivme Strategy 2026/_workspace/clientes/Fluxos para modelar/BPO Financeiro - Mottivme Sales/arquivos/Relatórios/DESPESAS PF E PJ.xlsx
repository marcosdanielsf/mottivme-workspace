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úrio business\Desktop\"/>
    </mc:Choice>
  </mc:AlternateContent>
  <xr:revisionPtr revIDLastSave="0" documentId="8_{CCEE608F-D1B1-4C27-A85B-36BB066CDABE}" xr6:coauthVersionLast="47" xr6:coauthVersionMax="47" xr10:uidLastSave="{00000000-0000-0000-0000-000000000000}"/>
  <bookViews>
    <workbookView xWindow="-110" yWindow="-110" windowWidth="19420" windowHeight="10420" activeTab="2" xr2:uid="{62F5AF17-E8D4-420C-8F9F-9E08BF53924B}"/>
  </bookViews>
  <sheets>
    <sheet name="RECEITAS" sheetId="2" r:id="rId1"/>
    <sheet name="DESPESAS PJ" sheetId="1" r:id="rId2"/>
    <sheet name="DESPESAS PF" sheetId="3" r:id="rId3"/>
  </sheets>
  <definedNames>
    <definedName name="_xlnm._FilterDatabase" localSheetId="2" hidden="1">'DESPESAS PF'!$A$1:$E$21</definedName>
    <definedName name="_xlnm._FilterDatabase" localSheetId="1" hidden="1">'DESPESAS PJ'!$A$1:$E$26</definedName>
    <definedName name="_xlnm._FilterDatabase" localSheetId="0" hidden="1">RECEITAS!$A$1:$E$78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9" i="2" l="1"/>
  <c r="D27" i="1"/>
  <c r="D22" i="3"/>
</calcChain>
</file>

<file path=xl/sharedStrings.xml><?xml version="1.0" encoding="utf-8"?>
<sst xmlns="http://schemas.openxmlformats.org/spreadsheetml/2006/main" count="506" uniqueCount="140">
  <si>
    <t>Vencimento</t>
  </si>
  <si>
    <t>Valor (R$)</t>
  </si>
  <si>
    <t>Categoria</t>
  </si>
  <si>
    <t>Cliente/Fornecedor</t>
  </si>
  <si>
    <t>Observação</t>
  </si>
  <si>
    <t>03/10/2025</t>
  </si>
  <si>
    <t/>
  </si>
  <si>
    <t>Contrato de BPO - SOCIAL SELLING / Contrato de BPO - SOCIAL SELLING</t>
  </si>
  <si>
    <t>Fernanda</t>
  </si>
  <si>
    <t>PAGAMENTO EM DOLLAR $ 800</t>
  </si>
  <si>
    <t>Telefonia / Despesas de Funcionamento</t>
  </si>
  <si>
    <t>VIVO</t>
  </si>
  <si>
    <t>Nº da Conta: 0433020835 hallennaiane@gmail.com ( Hn191134*)</t>
  </si>
  <si>
    <t>04/10/2025</t>
  </si>
  <si>
    <t>Imoveis / Imoveis</t>
  </si>
  <si>
    <t>Josebias Canuto</t>
  </si>
  <si>
    <t>Apartamento próprio 655 914 964-15 Josebias Canuto</t>
  </si>
  <si>
    <t>Pro-labore / Despesas Administrativas</t>
  </si>
  <si>
    <t>Hallen Naiane Santos</t>
  </si>
  <si>
    <t>PIX hallennaiane@gmail.com</t>
  </si>
  <si>
    <t>05/10/2025</t>
  </si>
  <si>
    <t>BPO Financeiro / Despesas Administrativas</t>
  </si>
  <si>
    <t>ANTURIO BUSINESS INTELLIGENCE LTDA</t>
  </si>
  <si>
    <t>BPO FINANCEIRO PJ</t>
  </si>
  <si>
    <t>10/10/2025</t>
  </si>
  <si>
    <t>Despesas Médicas / Despesas Médicas</t>
  </si>
  <si>
    <t>FÁRMACIA PAGUE MENOS</t>
  </si>
  <si>
    <t>Móveis e Utensílios / Móveis e Utensílios</t>
  </si>
  <si>
    <t>AMAZON</t>
  </si>
  <si>
    <t>Cartão de Crédito / Cartão de Crédito</t>
  </si>
  <si>
    <t>ADRIANA MARIA GOMES</t>
  </si>
  <si>
    <t>Cartao Adriana PIX: hallennaiane@gmail.com - Pgm da minha conta PF mesmo</t>
  </si>
  <si>
    <t>Brindes e Presentes / Brindes e Presentes</t>
  </si>
  <si>
    <t>SHOPEE</t>
  </si>
  <si>
    <t>Marina</t>
  </si>
  <si>
    <t>800$ dolares</t>
  </si>
  <si>
    <t>Desconsiderar / Desconsiderar</t>
  </si>
  <si>
    <t>MOTTIVME SALES LTDA</t>
  </si>
  <si>
    <t>CARRO</t>
  </si>
  <si>
    <t>TWS DIGITAL</t>
  </si>
  <si>
    <t>A identificar / A identificar</t>
  </si>
  <si>
    <t>Ticket andGo*LGNDTOP</t>
  </si>
  <si>
    <t>APTO</t>
  </si>
  <si>
    <t>Aluguel de imóveis / Despesas de Funcionamento</t>
  </si>
  <si>
    <t>Endereco Fiscal Alphaville Procoworking Ltda</t>
  </si>
  <si>
    <t>115194-0358</t>
  </si>
  <si>
    <t>CANVA</t>
  </si>
  <si>
    <t>11-51940358</t>
  </si>
  <si>
    <t>Contabilidade / Despesas Administrativas</t>
  </si>
  <si>
    <t>Wmh Contabilidade Digital Ltda</t>
  </si>
  <si>
    <t>honorários contador BOLETO E-MAIL</t>
  </si>
  <si>
    <t>Assinaturas / Assinaturas</t>
  </si>
  <si>
    <t>KVN*ASSINATURA ANUAL</t>
  </si>
  <si>
    <t>ADRIANA SIMÕES MONTEIRO</t>
  </si>
  <si>
    <t>no PIX chave CPF 124.470.618-38, favorecida, ADRIANA SIMÕES MONTEIRO ou TED na conta do banco ITAÚ ag: 3184 conta Corrente 25.950-9 do titular ADRIANA SIMÕES MONTEIRO.</t>
  </si>
  <si>
    <t>Rucci Digital</t>
  </si>
  <si>
    <t>11/10/2025</t>
  </si>
  <si>
    <t>Licença ou Aluguel de Softwares / Despesas de Funcionamento</t>
  </si>
  <si>
    <t>THIAGO ALBUQUERQUE DOS ANJOS</t>
  </si>
  <si>
    <t>200$ CALCULAR CONFORME COTAÇÃO SISTEMA CONTRATO RENATA</t>
  </si>
  <si>
    <t>Gustavo Couto</t>
  </si>
  <si>
    <t>3000$ dolar 5,2 media</t>
  </si>
  <si>
    <t>12/10/2025</t>
  </si>
  <si>
    <t>NUBANK</t>
  </si>
  <si>
    <t>FATURA DANIEL (LANÇAR GASTOS)</t>
  </si>
  <si>
    <t>15/10/2025</t>
  </si>
  <si>
    <t>Andre Rosa</t>
  </si>
  <si>
    <t>600$</t>
  </si>
  <si>
    <t>VIVIAM FERNANDES DE ARAUJO OSORIO</t>
  </si>
  <si>
    <t>450$ DOLARES</t>
  </si>
  <si>
    <t>Plano de Saúde / Plano de Saúde</t>
  </si>
  <si>
    <t>CONSUMIDOR</t>
  </si>
  <si>
    <t>Plano de saúde de Maite 34191097922980997146753521590009910820000039546</t>
  </si>
  <si>
    <t>18/10/2025</t>
  </si>
  <si>
    <t>Melina Wiebusch</t>
  </si>
  <si>
    <t>$3.000 dolares</t>
  </si>
  <si>
    <t>20/10/2025</t>
  </si>
  <si>
    <t>INSS / Funcionário</t>
  </si>
  <si>
    <t>RECEITA FEDERAL DO BRASIL</t>
  </si>
  <si>
    <t>RETIRAR GUIA NO ONVIO</t>
  </si>
  <si>
    <t>Renata Vieira</t>
  </si>
  <si>
    <t>600 dolares</t>
  </si>
  <si>
    <t>DAS - SIMPLES NACIONAL / Vendas</t>
  </si>
  <si>
    <t>SIMPLES NACIONAL</t>
  </si>
  <si>
    <t>DAS SIMPLES NACIONAL</t>
  </si>
  <si>
    <t>22/10/2025</t>
  </si>
  <si>
    <t>Milton de Abreu</t>
  </si>
  <si>
    <t>PAGAMENTO EM DOLLAR $300</t>
  </si>
  <si>
    <t>24/10/2025</t>
  </si>
  <si>
    <t>Madeira Madeira</t>
  </si>
  <si>
    <t>Vestuario / Vestuario</t>
  </si>
  <si>
    <t>Riachuelo</t>
  </si>
  <si>
    <t>BTG PACTUAL</t>
  </si>
  <si>
    <t>cartao Daniel conta btg</t>
  </si>
  <si>
    <t>Alimentação / Alimentação</t>
  </si>
  <si>
    <t>IFOOD</t>
  </si>
  <si>
    <t>GUIALC</t>
  </si>
  <si>
    <t>Decathlon</t>
  </si>
  <si>
    <t>Livraria / Livraria</t>
  </si>
  <si>
    <t>Leiturinha</t>
  </si>
  <si>
    <t>POLISHOP</t>
  </si>
  <si>
    <t>D S Confecções</t>
  </si>
  <si>
    <t>TIP TOP</t>
  </si>
  <si>
    <t>MILON ALPHAVILLE</t>
  </si>
  <si>
    <t>Catarina Outlet</t>
  </si>
  <si>
    <t>Promessa Comercio De Acessorios Ltda</t>
  </si>
  <si>
    <t>Jrs Modas</t>
  </si>
  <si>
    <t>Josefa Mendes Nery</t>
  </si>
  <si>
    <t>Spx Servicos De Imagem Ltda</t>
  </si>
  <si>
    <t>Viagens / Viagens</t>
  </si>
  <si>
    <t>Trip.com</t>
  </si>
  <si>
    <t>Drogaria São Paulo</t>
  </si>
  <si>
    <t>GREE PAGAMENTOS</t>
  </si>
  <si>
    <t>cartao Hallen conta btg</t>
  </si>
  <si>
    <t>Kidstok</t>
  </si>
  <si>
    <t>Clinica Portal Medic</t>
  </si>
  <si>
    <t>25/10/2025</t>
  </si>
  <si>
    <t>Claudia Fehribach</t>
  </si>
  <si>
    <t>PAGAMENTO EM DOLLAR $600</t>
  </si>
  <si>
    <t>REEMBOLSO HALLEN ESCRITORIO APARTAMENTO</t>
  </si>
  <si>
    <t>Salário / Funcionário</t>
  </si>
  <si>
    <t>Lucas Gabriel Simão Barreto</t>
  </si>
  <si>
    <t>BDR PIX 71660539412</t>
  </si>
  <si>
    <t>Aluguel de Carro / Aluguel de Carro</t>
  </si>
  <si>
    <t>CUSTO DE VEICULOS REEMBOLSAR HALLEN</t>
  </si>
  <si>
    <t>Isabella Pasoto Delduco</t>
  </si>
  <si>
    <t>SDR PIX 60.331.044/0001-26</t>
  </si>
  <si>
    <t>Internet / Despesas de Funcionamento</t>
  </si>
  <si>
    <t>VIVO boleto internet Mottivme hallennaiane@gmail.com ( Hn191134*) senha 3240</t>
  </si>
  <si>
    <t>Allesson Donato Silva</t>
  </si>
  <si>
    <t>pix 57221337000146 S. BDR</t>
  </si>
  <si>
    <t>Alex Ferreira Silva Logica Digital</t>
  </si>
  <si>
    <t>condominio do ap caruaru 81 9419-0202 Condomínio Ipojuca  Bloco 4 ap 201</t>
  </si>
  <si>
    <t>27/10/2025</t>
  </si>
  <si>
    <t>400 dolares</t>
  </si>
  <si>
    <t>31/10/2025</t>
  </si>
  <si>
    <t>Energia / Despesas de Funcionamento</t>
  </si>
  <si>
    <t>ENEL SP</t>
  </si>
  <si>
    <t>26302184  203261617 CADASTRADO DEBITO AUTOMATICO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</si>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</sst>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 applyNumberFormat="0" applyFont="0" applyFill="0" applyBorder="0" applyAlignment="0" applyProtection="0"/>
  </cellStyleXfs>
  <cellXfs count="14">
    <xf numFmtId="0" fontId="0" fillId="0" borderId="0" xfId="0"/>
    <xf numFmtId="0" fontId="0" fillId="0" borderId="0" xfId="42"/>
    <xf numFmtId="0" fontId="13" fillId="33" borderId="0" xfId="0" applyFont="1" applyFill="1"/>
    <xf numFmtId="164" fontId="13" fillId="33" borderId="0" xfId="0" applyNumberFormat="1" applyFont="1" applyFill="1"/>
    <xf numFmtId="164" fontId="0" fillId="0" borderId="0" xfId="0" applyNumberFormat="1"/>
    <xf numFmtId="0" fontId="13" fillId="33" borderId="0" xfId="0" applyFont="1" applyFill="1" applyAlignment="1">
      <alignment horizontal="center"/>
    </xf>
    <xf numFmtId="164" fontId="13" fillId="33" borderId="0" xfId="0" applyNumberFormat="1" applyFont="1" applyFill="1" applyAlignment="1">
      <alignment horizontal="center"/>
    </xf>
    <xf numFmtId="0" fontId="0" fillId="0" borderId="0" xfId="42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3" fillId="33" borderId="0" xfId="0" applyFont="1" applyFill="1" applyAlignment="1">
      <alignment horizontal="left"/>
    </xf>
    <xf numFmtId="0" fontId="0" fillId="0" borderId="0" xfId="42" applyAlignment="1">
      <alignment horizontal="left"/>
    </xf>
    <xf numFmtId="0" fontId="0" fillId="0" borderId="0" xfId="0" applyAlignment="1">
      <alignment horizontal="left"/>
    </xf>
    <xf numFmtId="0" fontId="13" fillId="33" borderId="0" xfId="0" applyFont="1" applyFill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-center" xfId="42" xr:uid="{B6A1CD5F-2DA0-4288-94B5-05FEDF7412ED}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16B1B-5A05-4917-8195-7D6812465249}">
  <sheetPr filterMode="1"/>
  <dimension ref="A1:E79"/>
  <sheetViews>
    <sheetView showGridLines="0" workbookViewId="0">
      <selection activeCell="A79" sqref="A79:C79"/>
    </sheetView>
  </sheetViews>
  <sheetFormatPr defaultRowHeight="14.5" x14ac:dyDescent="0.35"/>
  <cols>
    <col min="1" max="1" width="13.1796875" style="8" bestFit="1" customWidth="1"/>
    <col min="2" max="2" width="37.54296875" style="8" bestFit="1" customWidth="1"/>
    <col min="3" max="3" width="59.453125" style="8" bestFit="1" customWidth="1"/>
    <col min="4" max="4" width="12.6328125" style="9" bestFit="1" customWidth="1"/>
    <col min="5" max="5" width="148.453125" style="12" bestFit="1" customWidth="1"/>
  </cols>
  <sheetData>
    <row r="1" spans="1:5" s="2" customFormat="1" x14ac:dyDescent="0.35">
      <c r="A1" s="5" t="s">
        <v>0</v>
      </c>
      <c r="B1" s="5" t="s">
        <v>3</v>
      </c>
      <c r="C1" s="5" t="s">
        <v>2</v>
      </c>
      <c r="D1" s="6" t="s">
        <v>1</v>
      </c>
      <c r="E1" s="10" t="s">
        <v>4</v>
      </c>
    </row>
    <row r="2" spans="1:5" x14ac:dyDescent="0.35">
      <c r="A2" s="7" t="s">
        <v>5</v>
      </c>
      <c r="B2" s="8" t="s">
        <v>8</v>
      </c>
      <c r="C2" s="8" t="s">
        <v>7</v>
      </c>
      <c r="D2" s="9">
        <v>4194</v>
      </c>
      <c r="E2" s="11" t="s">
        <v>9</v>
      </c>
    </row>
    <row r="3" spans="1:5" hidden="1" x14ac:dyDescent="0.35">
      <c r="A3" s="1" t="s">
        <v>5</v>
      </c>
      <c r="B3" t="s">
        <v>11</v>
      </c>
      <c r="C3" t="s">
        <v>10</v>
      </c>
      <c r="D3" s="4">
        <v>139.96</v>
      </c>
      <c r="E3" s="1" t="s">
        <v>12</v>
      </c>
    </row>
    <row r="4" spans="1:5" hidden="1" x14ac:dyDescent="0.35">
      <c r="A4" s="1" t="s">
        <v>13</v>
      </c>
      <c r="B4" t="s">
        <v>15</v>
      </c>
      <c r="C4" t="s">
        <v>14</v>
      </c>
      <c r="D4" s="4">
        <v>619</v>
      </c>
      <c r="E4" s="1" t="s">
        <v>16</v>
      </c>
    </row>
    <row r="5" spans="1:5" hidden="1" x14ac:dyDescent="0.35">
      <c r="A5" s="1" t="s">
        <v>13</v>
      </c>
      <c r="B5" t="s">
        <v>18</v>
      </c>
      <c r="C5" t="s">
        <v>17</v>
      </c>
      <c r="D5" s="4">
        <v>1351.02</v>
      </c>
      <c r="E5" s="1" t="s">
        <v>19</v>
      </c>
    </row>
    <row r="6" spans="1:5" hidden="1" x14ac:dyDescent="0.35">
      <c r="A6" s="1" t="s">
        <v>20</v>
      </c>
      <c r="B6" t="s">
        <v>22</v>
      </c>
      <c r="C6" t="s">
        <v>21</v>
      </c>
      <c r="D6" s="4">
        <v>900</v>
      </c>
      <c r="E6" s="1" t="s">
        <v>23</v>
      </c>
    </row>
    <row r="7" spans="1:5" hidden="1" x14ac:dyDescent="0.35">
      <c r="A7" s="1" t="s">
        <v>24</v>
      </c>
      <c r="B7" t="s">
        <v>26</v>
      </c>
      <c r="C7" t="s">
        <v>25</v>
      </c>
      <c r="D7" s="4">
        <v>262.07</v>
      </c>
      <c r="E7" s="1" t="s">
        <v>6</v>
      </c>
    </row>
    <row r="8" spans="1:5" hidden="1" x14ac:dyDescent="0.35">
      <c r="A8" s="1" t="s">
        <v>24</v>
      </c>
      <c r="B8" t="s">
        <v>28</v>
      </c>
      <c r="C8" t="s">
        <v>27</v>
      </c>
      <c r="D8" s="4">
        <v>65.41</v>
      </c>
      <c r="E8" s="1" t="s">
        <v>6</v>
      </c>
    </row>
    <row r="9" spans="1:5" hidden="1" x14ac:dyDescent="0.35">
      <c r="A9" s="1" t="s">
        <v>24</v>
      </c>
      <c r="B9" t="s">
        <v>30</v>
      </c>
      <c r="C9" t="s">
        <v>29</v>
      </c>
      <c r="D9" s="4">
        <v>1748.1</v>
      </c>
      <c r="E9" s="1" t="s">
        <v>31</v>
      </c>
    </row>
    <row r="10" spans="1:5" hidden="1" x14ac:dyDescent="0.35">
      <c r="A10" s="1" t="s">
        <v>24</v>
      </c>
      <c r="B10" t="s">
        <v>28</v>
      </c>
      <c r="C10" t="s">
        <v>27</v>
      </c>
      <c r="D10" s="4">
        <v>368.64</v>
      </c>
      <c r="E10" s="1" t="s">
        <v>6</v>
      </c>
    </row>
    <row r="11" spans="1:5" hidden="1" x14ac:dyDescent="0.35">
      <c r="A11" s="1" t="s">
        <v>24</v>
      </c>
      <c r="B11" t="s">
        <v>33</v>
      </c>
      <c r="C11" t="s">
        <v>32</v>
      </c>
      <c r="D11" s="4">
        <v>137.04</v>
      </c>
      <c r="E11" s="1" t="s">
        <v>6</v>
      </c>
    </row>
    <row r="12" spans="1:5" x14ac:dyDescent="0.35">
      <c r="A12" s="7" t="s">
        <v>24</v>
      </c>
      <c r="B12" s="8" t="s">
        <v>34</v>
      </c>
      <c r="C12" s="8" t="s">
        <v>7</v>
      </c>
      <c r="D12" s="9">
        <v>4336</v>
      </c>
      <c r="E12" s="11" t="s">
        <v>35</v>
      </c>
    </row>
    <row r="13" spans="1:5" hidden="1" x14ac:dyDescent="0.35">
      <c r="A13" s="1" t="s">
        <v>24</v>
      </c>
      <c r="B13" t="s">
        <v>37</v>
      </c>
      <c r="C13" t="s">
        <v>36</v>
      </c>
      <c r="D13" s="4">
        <v>1200</v>
      </c>
      <c r="E13" s="1" t="s">
        <v>38</v>
      </c>
    </row>
    <row r="14" spans="1:5" hidden="1" x14ac:dyDescent="0.35">
      <c r="A14" s="1" t="s">
        <v>24</v>
      </c>
      <c r="B14" t="s">
        <v>39</v>
      </c>
      <c r="C14" t="s">
        <v>36</v>
      </c>
      <c r="D14" s="4">
        <v>19.66</v>
      </c>
      <c r="E14" s="1" t="s">
        <v>6</v>
      </c>
    </row>
    <row r="15" spans="1:5" hidden="1" x14ac:dyDescent="0.35">
      <c r="A15" s="1" t="s">
        <v>24</v>
      </c>
      <c r="B15" t="s">
        <v>41</v>
      </c>
      <c r="C15" t="s">
        <v>40</v>
      </c>
      <c r="D15" s="4">
        <v>352.78</v>
      </c>
      <c r="E15" s="1" t="s">
        <v>6</v>
      </c>
    </row>
    <row r="16" spans="1:5" hidden="1" x14ac:dyDescent="0.35">
      <c r="A16" s="1" t="s">
        <v>24</v>
      </c>
      <c r="B16" t="s">
        <v>37</v>
      </c>
      <c r="C16" t="s">
        <v>36</v>
      </c>
      <c r="D16" s="4">
        <v>2100</v>
      </c>
      <c r="E16" s="1" t="s">
        <v>42</v>
      </c>
    </row>
    <row r="17" spans="1:5" hidden="1" x14ac:dyDescent="0.35">
      <c r="A17" s="1" t="s">
        <v>24</v>
      </c>
      <c r="B17" t="s">
        <v>44</v>
      </c>
      <c r="C17" t="s">
        <v>43</v>
      </c>
      <c r="D17" s="4">
        <v>209.99</v>
      </c>
      <c r="E17" s="1" t="s">
        <v>45</v>
      </c>
    </row>
    <row r="18" spans="1:5" hidden="1" x14ac:dyDescent="0.35">
      <c r="A18" s="1" t="s">
        <v>24</v>
      </c>
      <c r="B18" t="s">
        <v>26</v>
      </c>
      <c r="C18" t="s">
        <v>25</v>
      </c>
      <c r="D18" s="4">
        <v>375.62</v>
      </c>
      <c r="E18" s="1" t="s">
        <v>6</v>
      </c>
    </row>
    <row r="19" spans="1:5" hidden="1" x14ac:dyDescent="0.35">
      <c r="A19" s="1" t="s">
        <v>24</v>
      </c>
      <c r="B19" t="s">
        <v>46</v>
      </c>
      <c r="C19" t="s">
        <v>36</v>
      </c>
      <c r="D19" s="4">
        <v>24.15</v>
      </c>
      <c r="E19" s="1" t="s">
        <v>6</v>
      </c>
    </row>
    <row r="20" spans="1:5" hidden="1" x14ac:dyDescent="0.35">
      <c r="A20" s="1" t="s">
        <v>24</v>
      </c>
      <c r="B20" t="s">
        <v>44</v>
      </c>
      <c r="C20" t="s">
        <v>43</v>
      </c>
      <c r="D20" s="4">
        <v>109.99</v>
      </c>
      <c r="E20" s="1" t="s">
        <v>47</v>
      </c>
    </row>
    <row r="21" spans="1:5" hidden="1" x14ac:dyDescent="0.35">
      <c r="A21" s="1" t="s">
        <v>24</v>
      </c>
      <c r="B21" t="s">
        <v>49</v>
      </c>
      <c r="C21" t="s">
        <v>48</v>
      </c>
      <c r="D21" s="4">
        <v>347</v>
      </c>
      <c r="E21" s="1" t="s">
        <v>50</v>
      </c>
    </row>
    <row r="22" spans="1:5" hidden="1" x14ac:dyDescent="0.35">
      <c r="A22" s="1" t="s">
        <v>24</v>
      </c>
      <c r="B22" t="s">
        <v>52</v>
      </c>
      <c r="C22" t="s">
        <v>51</v>
      </c>
      <c r="D22" s="4">
        <v>30.44</v>
      </c>
      <c r="E22" s="1" t="s">
        <v>6</v>
      </c>
    </row>
    <row r="23" spans="1:5" hidden="1" x14ac:dyDescent="0.35">
      <c r="A23" s="1" t="s">
        <v>24</v>
      </c>
      <c r="B23" t="s">
        <v>53</v>
      </c>
      <c r="C23" t="s">
        <v>36</v>
      </c>
      <c r="D23" s="4">
        <v>4200</v>
      </c>
      <c r="E23" s="1" t="s">
        <v>54</v>
      </c>
    </row>
    <row r="24" spans="1:5" hidden="1" x14ac:dyDescent="0.35">
      <c r="A24" s="1" t="s">
        <v>24</v>
      </c>
      <c r="B24" t="s">
        <v>53</v>
      </c>
      <c r="C24" t="s">
        <v>43</v>
      </c>
      <c r="D24" s="4">
        <v>4200</v>
      </c>
      <c r="E24" s="1" t="s">
        <v>54</v>
      </c>
    </row>
    <row r="25" spans="1:5" hidden="1" x14ac:dyDescent="0.35">
      <c r="A25" s="1" t="s">
        <v>24</v>
      </c>
      <c r="B25" t="s">
        <v>55</v>
      </c>
      <c r="C25" t="s">
        <v>36</v>
      </c>
      <c r="D25" s="4">
        <v>100</v>
      </c>
      <c r="E25" s="1" t="s">
        <v>6</v>
      </c>
    </row>
    <row r="26" spans="1:5" hidden="1" x14ac:dyDescent="0.35">
      <c r="A26" s="1" t="s">
        <v>56</v>
      </c>
      <c r="B26" t="s">
        <v>58</v>
      </c>
      <c r="C26" t="s">
        <v>57</v>
      </c>
      <c r="D26" s="4">
        <v>1080</v>
      </c>
      <c r="E26" s="1" t="s">
        <v>59</v>
      </c>
    </row>
    <row r="27" spans="1:5" x14ac:dyDescent="0.35">
      <c r="A27" s="7" t="s">
        <v>56</v>
      </c>
      <c r="B27" s="8" t="s">
        <v>60</v>
      </c>
      <c r="C27" s="8" t="s">
        <v>7</v>
      </c>
      <c r="D27" s="9">
        <v>15600</v>
      </c>
      <c r="E27" s="11" t="s">
        <v>61</v>
      </c>
    </row>
    <row r="28" spans="1:5" hidden="1" x14ac:dyDescent="0.35">
      <c r="A28" s="1" t="s">
        <v>62</v>
      </c>
      <c r="B28" t="s">
        <v>63</v>
      </c>
      <c r="C28" t="s">
        <v>29</v>
      </c>
      <c r="D28" s="4">
        <v>1927.76</v>
      </c>
      <c r="E28" s="1" t="s">
        <v>64</v>
      </c>
    </row>
    <row r="29" spans="1:5" x14ac:dyDescent="0.35">
      <c r="A29" s="7" t="s">
        <v>65</v>
      </c>
      <c r="B29" s="8" t="s">
        <v>66</v>
      </c>
      <c r="C29" s="8" t="s">
        <v>7</v>
      </c>
      <c r="D29" s="9">
        <v>3420</v>
      </c>
      <c r="E29" s="11" t="s">
        <v>67</v>
      </c>
    </row>
    <row r="30" spans="1:5" x14ac:dyDescent="0.35">
      <c r="A30" s="7" t="s">
        <v>65</v>
      </c>
      <c r="B30" s="8" t="s">
        <v>68</v>
      </c>
      <c r="C30" s="8" t="s">
        <v>7</v>
      </c>
      <c r="D30" s="9">
        <v>2430</v>
      </c>
      <c r="E30" s="11" t="s">
        <v>69</v>
      </c>
    </row>
    <row r="31" spans="1:5" hidden="1" x14ac:dyDescent="0.35">
      <c r="A31" s="1" t="s">
        <v>65</v>
      </c>
      <c r="B31" t="s">
        <v>71</v>
      </c>
      <c r="C31" t="s">
        <v>70</v>
      </c>
      <c r="D31" s="4">
        <v>395.46</v>
      </c>
      <c r="E31" s="1" t="s">
        <v>72</v>
      </c>
    </row>
    <row r="32" spans="1:5" x14ac:dyDescent="0.35">
      <c r="A32" s="7" t="s">
        <v>73</v>
      </c>
      <c r="B32" s="8" t="s">
        <v>74</v>
      </c>
      <c r="C32" s="8" t="s">
        <v>7</v>
      </c>
      <c r="D32" s="9">
        <v>16680</v>
      </c>
      <c r="E32" s="11" t="s">
        <v>75</v>
      </c>
    </row>
    <row r="33" spans="1:5" hidden="1" x14ac:dyDescent="0.35">
      <c r="A33" s="1" t="s">
        <v>76</v>
      </c>
      <c r="B33" t="s">
        <v>78</v>
      </c>
      <c r="C33" t="s">
        <v>77</v>
      </c>
      <c r="D33" s="4">
        <v>221.94</v>
      </c>
      <c r="E33" s="1" t="s">
        <v>79</v>
      </c>
    </row>
    <row r="34" spans="1:5" x14ac:dyDescent="0.35">
      <c r="A34" s="7" t="s">
        <v>76</v>
      </c>
      <c r="B34" s="8" t="s">
        <v>80</v>
      </c>
      <c r="C34" s="8" t="s">
        <v>7</v>
      </c>
      <c r="D34" s="9">
        <v>3252</v>
      </c>
      <c r="E34" s="11" t="s">
        <v>81</v>
      </c>
    </row>
    <row r="35" spans="1:5" hidden="1" x14ac:dyDescent="0.35">
      <c r="A35" s="1" t="s">
        <v>76</v>
      </c>
      <c r="B35" t="s">
        <v>83</v>
      </c>
      <c r="C35" t="s">
        <v>82</v>
      </c>
      <c r="D35" s="4">
        <v>1464.8</v>
      </c>
      <c r="E35" s="1" t="s">
        <v>84</v>
      </c>
    </row>
    <row r="36" spans="1:5" x14ac:dyDescent="0.35">
      <c r="A36" s="7" t="s">
        <v>85</v>
      </c>
      <c r="B36" s="8" t="s">
        <v>86</v>
      </c>
      <c r="C36" s="8" t="s">
        <v>7</v>
      </c>
      <c r="D36" s="9">
        <v>1620</v>
      </c>
      <c r="E36" s="11" t="s">
        <v>87</v>
      </c>
    </row>
    <row r="37" spans="1:5" hidden="1" x14ac:dyDescent="0.35">
      <c r="A37" s="1" t="s">
        <v>88</v>
      </c>
      <c r="B37" t="s">
        <v>89</v>
      </c>
      <c r="C37" t="s">
        <v>27</v>
      </c>
      <c r="D37" s="4">
        <v>220.41</v>
      </c>
      <c r="E37" s="1" t="s">
        <v>6</v>
      </c>
    </row>
    <row r="38" spans="1:5" hidden="1" x14ac:dyDescent="0.35">
      <c r="A38" s="1" t="s">
        <v>88</v>
      </c>
      <c r="B38" t="s">
        <v>33</v>
      </c>
      <c r="C38" t="s">
        <v>27</v>
      </c>
      <c r="D38" s="4">
        <v>97.4</v>
      </c>
      <c r="E38" s="1" t="s">
        <v>6</v>
      </c>
    </row>
    <row r="39" spans="1:5" hidden="1" x14ac:dyDescent="0.35">
      <c r="A39" s="1" t="s">
        <v>88</v>
      </c>
      <c r="B39" t="s">
        <v>91</v>
      </c>
      <c r="C39" t="s">
        <v>90</v>
      </c>
      <c r="D39" s="4">
        <v>37.659999999999997</v>
      </c>
      <c r="E39" s="1" t="s">
        <v>6</v>
      </c>
    </row>
    <row r="40" spans="1:5" hidden="1" x14ac:dyDescent="0.35">
      <c r="A40" s="1" t="s">
        <v>88</v>
      </c>
      <c r="B40" t="s">
        <v>26</v>
      </c>
      <c r="C40" t="s">
        <v>25</v>
      </c>
      <c r="D40" s="4">
        <v>138.61000000000001</v>
      </c>
      <c r="E40" s="1" t="s">
        <v>6</v>
      </c>
    </row>
    <row r="41" spans="1:5" hidden="1" x14ac:dyDescent="0.35">
      <c r="A41" s="1" t="s">
        <v>88</v>
      </c>
      <c r="B41" t="s">
        <v>92</v>
      </c>
      <c r="C41" t="s">
        <v>29</v>
      </c>
      <c r="D41" s="4">
        <v>3600</v>
      </c>
      <c r="E41" s="1" t="s">
        <v>93</v>
      </c>
    </row>
    <row r="42" spans="1:5" hidden="1" x14ac:dyDescent="0.35">
      <c r="A42" s="1" t="s">
        <v>88</v>
      </c>
      <c r="B42" t="s">
        <v>95</v>
      </c>
      <c r="C42" t="s">
        <v>94</v>
      </c>
      <c r="D42" s="4">
        <v>5.95</v>
      </c>
      <c r="E42" s="1" t="s">
        <v>6</v>
      </c>
    </row>
    <row r="43" spans="1:5" hidden="1" x14ac:dyDescent="0.35">
      <c r="A43" s="1" t="s">
        <v>88</v>
      </c>
      <c r="B43" t="s">
        <v>96</v>
      </c>
      <c r="C43" t="s">
        <v>36</v>
      </c>
      <c r="D43" s="4">
        <v>13.64</v>
      </c>
      <c r="E43" s="1" t="s">
        <v>6</v>
      </c>
    </row>
    <row r="44" spans="1:5" hidden="1" x14ac:dyDescent="0.35">
      <c r="A44" s="1" t="s">
        <v>88</v>
      </c>
      <c r="B44" t="s">
        <v>97</v>
      </c>
      <c r="C44" t="s">
        <v>90</v>
      </c>
      <c r="D44" s="4">
        <v>136.62</v>
      </c>
      <c r="E44" s="1" t="s">
        <v>6</v>
      </c>
    </row>
    <row r="45" spans="1:5" hidden="1" x14ac:dyDescent="0.35">
      <c r="A45" s="1" t="s">
        <v>88</v>
      </c>
      <c r="B45" t="s">
        <v>99</v>
      </c>
      <c r="C45" t="s">
        <v>98</v>
      </c>
      <c r="D45" s="4">
        <v>39.9</v>
      </c>
      <c r="E45" s="1" t="s">
        <v>6</v>
      </c>
    </row>
    <row r="46" spans="1:5" hidden="1" x14ac:dyDescent="0.35">
      <c r="A46" s="1" t="s">
        <v>88</v>
      </c>
      <c r="B46" t="s">
        <v>100</v>
      </c>
      <c r="C46" t="s">
        <v>27</v>
      </c>
      <c r="D46" s="4">
        <v>53.32</v>
      </c>
      <c r="E46" s="1" t="s">
        <v>6</v>
      </c>
    </row>
    <row r="47" spans="1:5" hidden="1" x14ac:dyDescent="0.35">
      <c r="A47" s="1" t="s">
        <v>88</v>
      </c>
      <c r="B47" t="s">
        <v>101</v>
      </c>
      <c r="C47" t="s">
        <v>90</v>
      </c>
      <c r="D47" s="4">
        <v>236.77</v>
      </c>
      <c r="E47" s="1" t="s">
        <v>6</v>
      </c>
    </row>
    <row r="48" spans="1:5" hidden="1" x14ac:dyDescent="0.35">
      <c r="A48" s="1" t="s">
        <v>88</v>
      </c>
      <c r="B48" t="s">
        <v>33</v>
      </c>
      <c r="C48" t="s">
        <v>27</v>
      </c>
      <c r="D48" s="4">
        <v>61.26</v>
      </c>
      <c r="E48" s="1" t="s">
        <v>6</v>
      </c>
    </row>
    <row r="49" spans="1:5" hidden="1" x14ac:dyDescent="0.35">
      <c r="A49" s="1" t="s">
        <v>88</v>
      </c>
      <c r="B49" t="s">
        <v>102</v>
      </c>
      <c r="C49" t="s">
        <v>90</v>
      </c>
      <c r="D49" s="4">
        <v>223.76</v>
      </c>
      <c r="E49" s="1" t="s">
        <v>6</v>
      </c>
    </row>
    <row r="50" spans="1:5" hidden="1" x14ac:dyDescent="0.35">
      <c r="A50" s="1" t="s">
        <v>88</v>
      </c>
      <c r="B50" t="s">
        <v>103</v>
      </c>
      <c r="C50" t="s">
        <v>90</v>
      </c>
      <c r="D50" s="4">
        <v>305.25</v>
      </c>
      <c r="E50" s="1" t="s">
        <v>6</v>
      </c>
    </row>
    <row r="51" spans="1:5" hidden="1" x14ac:dyDescent="0.35">
      <c r="A51" s="1" t="s">
        <v>88</v>
      </c>
      <c r="B51" t="s">
        <v>104</v>
      </c>
      <c r="C51" t="s">
        <v>90</v>
      </c>
      <c r="D51" s="4">
        <v>350.77</v>
      </c>
      <c r="E51" s="1" t="s">
        <v>6</v>
      </c>
    </row>
    <row r="52" spans="1:5" hidden="1" x14ac:dyDescent="0.35">
      <c r="A52" s="1" t="s">
        <v>88</v>
      </c>
      <c r="B52" t="s">
        <v>105</v>
      </c>
      <c r="C52" t="s">
        <v>10</v>
      </c>
      <c r="D52" s="4">
        <v>213.33</v>
      </c>
      <c r="E52" s="1" t="s">
        <v>6</v>
      </c>
    </row>
    <row r="53" spans="1:5" hidden="1" x14ac:dyDescent="0.35">
      <c r="A53" s="1" t="s">
        <v>88</v>
      </c>
      <c r="B53" t="s">
        <v>33</v>
      </c>
      <c r="C53" t="s">
        <v>90</v>
      </c>
      <c r="D53" s="4">
        <v>62.1</v>
      </c>
      <c r="E53" s="1" t="s">
        <v>6</v>
      </c>
    </row>
    <row r="54" spans="1:5" hidden="1" x14ac:dyDescent="0.35">
      <c r="A54" s="1" t="s">
        <v>88</v>
      </c>
      <c r="B54" t="s">
        <v>106</v>
      </c>
      <c r="C54" t="s">
        <v>90</v>
      </c>
      <c r="D54" s="4">
        <v>384.03</v>
      </c>
      <c r="E54" s="1" t="s">
        <v>6</v>
      </c>
    </row>
    <row r="55" spans="1:5" hidden="1" x14ac:dyDescent="0.35">
      <c r="A55" s="1" t="s">
        <v>88</v>
      </c>
      <c r="B55" t="s">
        <v>107</v>
      </c>
      <c r="C55" t="s">
        <v>90</v>
      </c>
      <c r="D55" s="4">
        <v>172.7</v>
      </c>
      <c r="E55" s="1" t="s">
        <v>6</v>
      </c>
    </row>
    <row r="56" spans="1:5" hidden="1" x14ac:dyDescent="0.35">
      <c r="A56" s="1" t="s">
        <v>88</v>
      </c>
      <c r="B56" t="s">
        <v>108</v>
      </c>
      <c r="C56" t="s">
        <v>25</v>
      </c>
      <c r="D56" s="4">
        <v>161</v>
      </c>
      <c r="E56" s="1" t="s">
        <v>6</v>
      </c>
    </row>
    <row r="57" spans="1:5" hidden="1" x14ac:dyDescent="0.35">
      <c r="A57" s="1" t="s">
        <v>88</v>
      </c>
      <c r="B57" t="s">
        <v>110</v>
      </c>
      <c r="C57" t="s">
        <v>109</v>
      </c>
      <c r="D57" s="4">
        <v>187.44</v>
      </c>
      <c r="E57" s="1" t="s">
        <v>6</v>
      </c>
    </row>
    <row r="58" spans="1:5" hidden="1" x14ac:dyDescent="0.35">
      <c r="A58" s="1" t="s">
        <v>88</v>
      </c>
      <c r="B58" t="s">
        <v>111</v>
      </c>
      <c r="C58" t="s">
        <v>25</v>
      </c>
      <c r="D58" s="4">
        <v>72.45</v>
      </c>
      <c r="E58" s="1" t="s">
        <v>6</v>
      </c>
    </row>
    <row r="59" spans="1:5" hidden="1" x14ac:dyDescent="0.35">
      <c r="A59" s="1" t="s">
        <v>88</v>
      </c>
      <c r="B59" t="s">
        <v>112</v>
      </c>
      <c r="C59" t="s">
        <v>36</v>
      </c>
      <c r="D59" s="4">
        <v>375</v>
      </c>
      <c r="E59" s="1" t="s">
        <v>6</v>
      </c>
    </row>
    <row r="60" spans="1:5" hidden="1" x14ac:dyDescent="0.35">
      <c r="A60" s="1" t="s">
        <v>88</v>
      </c>
      <c r="B60" t="s">
        <v>111</v>
      </c>
      <c r="C60" t="s">
        <v>25</v>
      </c>
      <c r="D60" s="4">
        <v>111.97</v>
      </c>
      <c r="E60" s="1" t="s">
        <v>6</v>
      </c>
    </row>
    <row r="61" spans="1:5" hidden="1" x14ac:dyDescent="0.35">
      <c r="A61" s="1" t="s">
        <v>88</v>
      </c>
      <c r="B61" t="s">
        <v>33</v>
      </c>
      <c r="C61" t="s">
        <v>27</v>
      </c>
      <c r="D61" s="4">
        <v>68.92</v>
      </c>
      <c r="E61" s="1" t="s">
        <v>6</v>
      </c>
    </row>
    <row r="62" spans="1:5" hidden="1" x14ac:dyDescent="0.35">
      <c r="A62" s="1" t="s">
        <v>88</v>
      </c>
      <c r="B62" t="s">
        <v>92</v>
      </c>
      <c r="C62" t="s">
        <v>29</v>
      </c>
      <c r="D62" s="4">
        <v>9008.57</v>
      </c>
      <c r="E62" s="1" t="s">
        <v>113</v>
      </c>
    </row>
    <row r="63" spans="1:5" hidden="1" x14ac:dyDescent="0.35">
      <c r="A63" s="1" t="s">
        <v>88</v>
      </c>
      <c r="B63" t="s">
        <v>92</v>
      </c>
      <c r="C63" t="s">
        <v>36</v>
      </c>
      <c r="D63" s="4">
        <v>9008.57</v>
      </c>
      <c r="E63" s="1" t="s">
        <v>113</v>
      </c>
    </row>
    <row r="64" spans="1:5" hidden="1" x14ac:dyDescent="0.35">
      <c r="A64" s="1" t="s">
        <v>88</v>
      </c>
      <c r="B64" t="s">
        <v>33</v>
      </c>
      <c r="C64" t="s">
        <v>27</v>
      </c>
      <c r="D64" s="4">
        <v>64.150000000000006</v>
      </c>
      <c r="E64" s="1" t="s">
        <v>6</v>
      </c>
    </row>
    <row r="65" spans="1:5" hidden="1" x14ac:dyDescent="0.35">
      <c r="A65" s="1" t="s">
        <v>88</v>
      </c>
      <c r="B65" t="s">
        <v>108</v>
      </c>
      <c r="C65" t="s">
        <v>25</v>
      </c>
      <c r="D65" s="4">
        <v>108.5</v>
      </c>
      <c r="E65" s="1" t="s">
        <v>6</v>
      </c>
    </row>
    <row r="66" spans="1:5" hidden="1" x14ac:dyDescent="0.35">
      <c r="A66" s="1" t="s">
        <v>88</v>
      </c>
      <c r="B66" t="s">
        <v>114</v>
      </c>
      <c r="C66" t="s">
        <v>90</v>
      </c>
      <c r="D66" s="4">
        <v>143.80000000000001</v>
      </c>
      <c r="E66" s="1" t="s">
        <v>6</v>
      </c>
    </row>
    <row r="67" spans="1:5" hidden="1" x14ac:dyDescent="0.35">
      <c r="A67" s="1" t="s">
        <v>88</v>
      </c>
      <c r="B67" t="s">
        <v>33</v>
      </c>
      <c r="C67" t="s">
        <v>27</v>
      </c>
      <c r="D67" s="4">
        <v>80.73</v>
      </c>
      <c r="E67" s="1" t="s">
        <v>6</v>
      </c>
    </row>
    <row r="68" spans="1:5" hidden="1" x14ac:dyDescent="0.35">
      <c r="A68" s="1" t="s">
        <v>88</v>
      </c>
      <c r="B68" t="s">
        <v>115</v>
      </c>
      <c r="C68" t="s">
        <v>25</v>
      </c>
      <c r="D68" s="4">
        <v>100</v>
      </c>
      <c r="E68" s="1" t="s">
        <v>6</v>
      </c>
    </row>
    <row r="69" spans="1:5" x14ac:dyDescent="0.35">
      <c r="A69" s="7" t="s">
        <v>116</v>
      </c>
      <c r="B69" s="8" t="s">
        <v>117</v>
      </c>
      <c r="C69" s="8" t="s">
        <v>7</v>
      </c>
      <c r="D69" s="9">
        <v>3400</v>
      </c>
      <c r="E69" s="11" t="s">
        <v>118</v>
      </c>
    </row>
    <row r="70" spans="1:5" hidden="1" x14ac:dyDescent="0.35">
      <c r="A70" s="1" t="s">
        <v>116</v>
      </c>
      <c r="B70" t="s">
        <v>18</v>
      </c>
      <c r="C70" t="s">
        <v>43</v>
      </c>
      <c r="D70" s="4">
        <v>2100</v>
      </c>
      <c r="E70" s="1" t="s">
        <v>119</v>
      </c>
    </row>
    <row r="71" spans="1:5" hidden="1" x14ac:dyDescent="0.35">
      <c r="A71" s="1" t="s">
        <v>116</v>
      </c>
      <c r="B71" t="s">
        <v>121</v>
      </c>
      <c r="C71" t="s">
        <v>120</v>
      </c>
      <c r="D71" s="4">
        <v>1680</v>
      </c>
      <c r="E71" s="1" t="s">
        <v>122</v>
      </c>
    </row>
    <row r="72" spans="1:5" hidden="1" x14ac:dyDescent="0.35">
      <c r="A72" s="1" t="s">
        <v>116</v>
      </c>
      <c r="B72" t="s">
        <v>18</v>
      </c>
      <c r="C72" t="s">
        <v>123</v>
      </c>
      <c r="D72" s="4">
        <v>1200</v>
      </c>
      <c r="E72" s="1" t="s">
        <v>124</v>
      </c>
    </row>
    <row r="73" spans="1:5" hidden="1" x14ac:dyDescent="0.35">
      <c r="A73" s="1" t="s">
        <v>116</v>
      </c>
      <c r="B73" t="s">
        <v>125</v>
      </c>
      <c r="C73" t="s">
        <v>120</v>
      </c>
      <c r="D73" s="4">
        <v>2000</v>
      </c>
      <c r="E73" s="1" t="s">
        <v>126</v>
      </c>
    </row>
    <row r="74" spans="1:5" hidden="1" x14ac:dyDescent="0.35">
      <c r="A74" s="1" t="s">
        <v>116</v>
      </c>
      <c r="B74" t="s">
        <v>11</v>
      </c>
      <c r="C74" t="s">
        <v>127</v>
      </c>
      <c r="D74" s="4">
        <v>99.99</v>
      </c>
      <c r="E74" s="1" t="s">
        <v>128</v>
      </c>
    </row>
    <row r="75" spans="1:5" hidden="1" x14ac:dyDescent="0.35">
      <c r="A75" s="1" t="s">
        <v>116</v>
      </c>
      <c r="B75" t="s">
        <v>129</v>
      </c>
      <c r="C75" t="s">
        <v>120</v>
      </c>
      <c r="D75" s="4">
        <v>2400</v>
      </c>
      <c r="E75" s="1" t="s">
        <v>130</v>
      </c>
    </row>
    <row r="76" spans="1:5" hidden="1" x14ac:dyDescent="0.35">
      <c r="A76" s="1" t="s">
        <v>116</v>
      </c>
      <c r="B76" t="s">
        <v>131</v>
      </c>
      <c r="C76" t="s">
        <v>14</v>
      </c>
      <c r="D76" s="4">
        <v>192.78</v>
      </c>
      <c r="E76" s="1" t="s">
        <v>132</v>
      </c>
    </row>
    <row r="77" spans="1:5" x14ac:dyDescent="0.35">
      <c r="A77" s="7" t="s">
        <v>133</v>
      </c>
      <c r="B77" s="8" t="s">
        <v>80</v>
      </c>
      <c r="C77" s="8" t="s">
        <v>7</v>
      </c>
      <c r="D77" s="9">
        <v>2168</v>
      </c>
      <c r="E77" s="11" t="s">
        <v>134</v>
      </c>
    </row>
    <row r="78" spans="1:5" hidden="1" x14ac:dyDescent="0.35">
      <c r="A78" s="1" t="s">
        <v>135</v>
      </c>
      <c r="B78" t="s">
        <v>137</v>
      </c>
      <c r="C78" t="s">
        <v>136</v>
      </c>
      <c r="D78" s="4">
        <v>179.66</v>
      </c>
      <c r="E78" s="1" t="s">
        <v>138</v>
      </c>
    </row>
    <row r="79" spans="1:5" x14ac:dyDescent="0.35">
      <c r="A79" s="13" t="s">
        <v>139</v>
      </c>
      <c r="B79" s="13"/>
      <c r="C79" s="13"/>
      <c r="D79" s="6">
        <f>SUBTOTAL(9,D2:D78)</f>
        <v>57100</v>
      </c>
    </row>
  </sheetData>
  <autoFilter ref="A1:E78" xr:uid="{A72A8084-5742-4D69-9964-4DE779634D3D}">
    <filterColumn colId="2">
      <filters>
        <filter val="Contrato de BPO - SOCIAL SELLING / Contrato de BPO - SOCIAL SELLING"/>
      </filters>
    </filterColumn>
  </autoFilter>
  <mergeCells count="1">
    <mergeCell ref="A79:C79"/>
  </mergeCells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8084-5742-4D69-9964-4DE779634D3D}">
  <sheetPr filterMode="1"/>
  <dimension ref="A1:E27"/>
  <sheetViews>
    <sheetView showGridLines="0" workbookViewId="0">
      <selection activeCell="C9" sqref="C9"/>
    </sheetView>
  </sheetViews>
  <sheetFormatPr defaultRowHeight="14.5" x14ac:dyDescent="0.35"/>
  <cols>
    <col min="1" max="1" width="13.1796875" bestFit="1" customWidth="1"/>
    <col min="2" max="2" width="37.54296875" bestFit="1" customWidth="1"/>
    <col min="3" max="3" width="59.453125" bestFit="1" customWidth="1"/>
    <col min="4" max="4" width="12.6328125" style="4" bestFit="1" customWidth="1"/>
    <col min="5" max="5" width="148.453125" bestFit="1" customWidth="1"/>
  </cols>
  <sheetData>
    <row r="1" spans="1:5" s="2" customFormat="1" x14ac:dyDescent="0.35">
      <c r="A1" s="2" t="s">
        <v>0</v>
      </c>
      <c r="B1" s="2" t="s">
        <v>3</v>
      </c>
      <c r="C1" s="2" t="s">
        <v>2</v>
      </c>
      <c r="D1" s="3" t="s">
        <v>1</v>
      </c>
      <c r="E1" s="2" t="s">
        <v>4</v>
      </c>
    </row>
    <row r="2" spans="1:5" hidden="1" x14ac:dyDescent="0.35">
      <c r="A2" s="1" t="s">
        <v>5</v>
      </c>
      <c r="B2" t="s">
        <v>8</v>
      </c>
      <c r="C2" t="s">
        <v>7</v>
      </c>
      <c r="D2" s="4">
        <v>4194</v>
      </c>
      <c r="E2" s="1" t="s">
        <v>9</v>
      </c>
    </row>
    <row r="3" spans="1:5" x14ac:dyDescent="0.35">
      <c r="A3" s="1" t="s">
        <v>5</v>
      </c>
      <c r="B3" t="s">
        <v>11</v>
      </c>
      <c r="C3" t="s">
        <v>10</v>
      </c>
      <c r="D3" s="4">
        <v>139.96</v>
      </c>
      <c r="E3" s="1" t="s">
        <v>12</v>
      </c>
    </row>
    <row r="4" spans="1:5" x14ac:dyDescent="0.35">
      <c r="A4" s="1" t="s">
        <v>13</v>
      </c>
      <c r="B4" t="s">
        <v>18</v>
      </c>
      <c r="C4" t="s">
        <v>17</v>
      </c>
      <c r="D4" s="4">
        <v>1351.02</v>
      </c>
      <c r="E4" s="1" t="s">
        <v>19</v>
      </c>
    </row>
    <row r="5" spans="1:5" x14ac:dyDescent="0.35">
      <c r="A5" s="1" t="s">
        <v>20</v>
      </c>
      <c r="B5" t="s">
        <v>22</v>
      </c>
      <c r="C5" t="s">
        <v>21</v>
      </c>
      <c r="D5" s="4">
        <v>900</v>
      </c>
      <c r="E5" s="1" t="s">
        <v>23</v>
      </c>
    </row>
    <row r="6" spans="1:5" hidden="1" x14ac:dyDescent="0.35">
      <c r="A6" s="1" t="s">
        <v>24</v>
      </c>
      <c r="B6" t="s">
        <v>34</v>
      </c>
      <c r="C6" t="s">
        <v>7</v>
      </c>
      <c r="D6" s="4">
        <v>4336</v>
      </c>
      <c r="E6" s="1" t="s">
        <v>35</v>
      </c>
    </row>
    <row r="7" spans="1:5" x14ac:dyDescent="0.35">
      <c r="A7" s="1" t="s">
        <v>24</v>
      </c>
      <c r="B7" t="s">
        <v>44</v>
      </c>
      <c r="C7" t="s">
        <v>43</v>
      </c>
      <c r="D7" s="4">
        <v>209.99</v>
      </c>
      <c r="E7" s="1" t="s">
        <v>45</v>
      </c>
    </row>
    <row r="8" spans="1:5" x14ac:dyDescent="0.35">
      <c r="A8" s="1" t="s">
        <v>24</v>
      </c>
      <c r="B8" t="s">
        <v>44</v>
      </c>
      <c r="C8" t="s">
        <v>43</v>
      </c>
      <c r="D8" s="4">
        <v>109.99</v>
      </c>
      <c r="E8" s="1" t="s">
        <v>47</v>
      </c>
    </row>
    <row r="9" spans="1:5" x14ac:dyDescent="0.35">
      <c r="A9" s="1" t="s">
        <v>24</v>
      </c>
      <c r="B9" t="s">
        <v>49</v>
      </c>
      <c r="C9" t="s">
        <v>48</v>
      </c>
      <c r="D9" s="4">
        <v>347</v>
      </c>
      <c r="E9" s="1" t="s">
        <v>50</v>
      </c>
    </row>
    <row r="10" spans="1:5" x14ac:dyDescent="0.35">
      <c r="A10" s="1" t="s">
        <v>56</v>
      </c>
      <c r="B10" t="s">
        <v>58</v>
      </c>
      <c r="C10" t="s">
        <v>57</v>
      </c>
      <c r="D10" s="4">
        <v>1080</v>
      </c>
      <c r="E10" s="1" t="s">
        <v>59</v>
      </c>
    </row>
    <row r="11" spans="1:5" hidden="1" x14ac:dyDescent="0.35">
      <c r="A11" s="1" t="s">
        <v>56</v>
      </c>
      <c r="B11" t="s">
        <v>60</v>
      </c>
      <c r="C11" t="s">
        <v>7</v>
      </c>
      <c r="D11" s="4">
        <v>15600</v>
      </c>
      <c r="E11" s="1" t="s">
        <v>61</v>
      </c>
    </row>
    <row r="12" spans="1:5" hidden="1" x14ac:dyDescent="0.35">
      <c r="A12" s="1" t="s">
        <v>65</v>
      </c>
      <c r="B12" t="s">
        <v>66</v>
      </c>
      <c r="C12" t="s">
        <v>7</v>
      </c>
      <c r="D12" s="4">
        <v>3420</v>
      </c>
      <c r="E12" s="1" t="s">
        <v>67</v>
      </c>
    </row>
    <row r="13" spans="1:5" hidden="1" x14ac:dyDescent="0.35">
      <c r="A13" s="1" t="s">
        <v>65</v>
      </c>
      <c r="B13" t="s">
        <v>68</v>
      </c>
      <c r="C13" t="s">
        <v>7</v>
      </c>
      <c r="D13" s="4">
        <v>2430</v>
      </c>
      <c r="E13" s="1" t="s">
        <v>69</v>
      </c>
    </row>
    <row r="14" spans="1:5" hidden="1" x14ac:dyDescent="0.35">
      <c r="A14" s="1" t="s">
        <v>73</v>
      </c>
      <c r="B14" t="s">
        <v>74</v>
      </c>
      <c r="C14" t="s">
        <v>7</v>
      </c>
      <c r="D14" s="4">
        <v>16680</v>
      </c>
      <c r="E14" s="1" t="s">
        <v>75</v>
      </c>
    </row>
    <row r="15" spans="1:5" x14ac:dyDescent="0.35">
      <c r="A15" s="1" t="s">
        <v>76</v>
      </c>
      <c r="B15" t="s">
        <v>78</v>
      </c>
      <c r="C15" t="s">
        <v>77</v>
      </c>
      <c r="D15" s="4">
        <v>221.94</v>
      </c>
      <c r="E15" s="1" t="s">
        <v>79</v>
      </c>
    </row>
    <row r="16" spans="1:5" hidden="1" x14ac:dyDescent="0.35">
      <c r="A16" s="1" t="s">
        <v>76</v>
      </c>
      <c r="B16" t="s">
        <v>80</v>
      </c>
      <c r="C16" t="s">
        <v>7</v>
      </c>
      <c r="D16" s="4">
        <v>3252</v>
      </c>
      <c r="E16" s="1" t="s">
        <v>81</v>
      </c>
    </row>
    <row r="17" spans="1:5" x14ac:dyDescent="0.35">
      <c r="A17" s="1" t="s">
        <v>76</v>
      </c>
      <c r="B17" t="s">
        <v>83</v>
      </c>
      <c r="C17" t="s">
        <v>82</v>
      </c>
      <c r="D17" s="4">
        <v>1464.8</v>
      </c>
      <c r="E17" s="1" t="s">
        <v>84</v>
      </c>
    </row>
    <row r="18" spans="1:5" hidden="1" x14ac:dyDescent="0.35">
      <c r="A18" s="1" t="s">
        <v>85</v>
      </c>
      <c r="B18" t="s">
        <v>86</v>
      </c>
      <c r="C18" t="s">
        <v>7</v>
      </c>
      <c r="D18" s="4">
        <v>1620</v>
      </c>
      <c r="E18" s="1" t="s">
        <v>87</v>
      </c>
    </row>
    <row r="19" spans="1:5" hidden="1" x14ac:dyDescent="0.35">
      <c r="A19" s="1" t="s">
        <v>116</v>
      </c>
      <c r="B19" t="s">
        <v>117</v>
      </c>
      <c r="C19" t="s">
        <v>7</v>
      </c>
      <c r="D19" s="4">
        <v>3400</v>
      </c>
      <c r="E19" s="1" t="s">
        <v>118</v>
      </c>
    </row>
    <row r="20" spans="1:5" x14ac:dyDescent="0.35">
      <c r="A20" s="1" t="s">
        <v>116</v>
      </c>
      <c r="B20" t="s">
        <v>18</v>
      </c>
      <c r="C20" t="s">
        <v>43</v>
      </c>
      <c r="D20" s="4">
        <v>2100</v>
      </c>
      <c r="E20" s="1" t="s">
        <v>119</v>
      </c>
    </row>
    <row r="21" spans="1:5" x14ac:dyDescent="0.35">
      <c r="A21" s="1" t="s">
        <v>116</v>
      </c>
      <c r="B21" t="s">
        <v>121</v>
      </c>
      <c r="C21" t="s">
        <v>120</v>
      </c>
      <c r="D21" s="4">
        <v>1680</v>
      </c>
      <c r="E21" s="1" t="s">
        <v>122</v>
      </c>
    </row>
    <row r="22" spans="1:5" x14ac:dyDescent="0.35">
      <c r="A22" s="1" t="s">
        <v>116</v>
      </c>
      <c r="B22" t="s">
        <v>18</v>
      </c>
      <c r="C22" t="s">
        <v>123</v>
      </c>
      <c r="D22" s="4">
        <v>1200</v>
      </c>
      <c r="E22" s="1" t="s">
        <v>124</v>
      </c>
    </row>
    <row r="23" spans="1:5" x14ac:dyDescent="0.35">
      <c r="A23" s="1" t="s">
        <v>116</v>
      </c>
      <c r="B23" t="s">
        <v>125</v>
      </c>
      <c r="C23" t="s">
        <v>120</v>
      </c>
      <c r="D23" s="4">
        <v>2000</v>
      </c>
      <c r="E23" s="1" t="s">
        <v>126</v>
      </c>
    </row>
    <row r="24" spans="1:5" x14ac:dyDescent="0.35">
      <c r="A24" s="1" t="s">
        <v>116</v>
      </c>
      <c r="B24" t="s">
        <v>11</v>
      </c>
      <c r="C24" t="s">
        <v>127</v>
      </c>
      <c r="D24" s="4">
        <v>99.99</v>
      </c>
      <c r="E24" s="1" t="s">
        <v>128</v>
      </c>
    </row>
    <row r="25" spans="1:5" x14ac:dyDescent="0.35">
      <c r="A25" s="1" t="s">
        <v>116</v>
      </c>
      <c r="B25" t="s">
        <v>129</v>
      </c>
      <c r="C25" t="s">
        <v>120</v>
      </c>
      <c r="D25" s="4">
        <v>2400</v>
      </c>
      <c r="E25" s="1" t="s">
        <v>130</v>
      </c>
    </row>
    <row r="26" spans="1:5" hidden="1" x14ac:dyDescent="0.35">
      <c r="A26" s="1" t="s">
        <v>133</v>
      </c>
      <c r="B26" t="s">
        <v>80</v>
      </c>
      <c r="C26" t="s">
        <v>7</v>
      </c>
      <c r="D26" s="4">
        <v>2168</v>
      </c>
      <c r="E26" s="1" t="s">
        <v>134</v>
      </c>
    </row>
    <row r="27" spans="1:5" x14ac:dyDescent="0.35">
      <c r="A27" s="13" t="s">
        <v>139</v>
      </c>
      <c r="B27" s="13"/>
      <c r="C27" s="13"/>
      <c r="D27" s="3">
        <f>SUBTOTAL(9,D3:D26)</f>
        <v>15304.69</v>
      </c>
    </row>
  </sheetData>
  <autoFilter ref="A1:E26" xr:uid="{A72A8084-5742-4D69-9964-4DE779634D3D}">
    <filterColumn colId="2">
      <filters>
        <filter val="A identificar / A identificar"/>
        <filter val="Alimentação / Alimentação"/>
        <filter val="Aluguel de Carro / Aluguel de Carro"/>
        <filter val="Aluguel de imóveis / Despesas de Funcionamento"/>
        <filter val="Assinaturas / Assinaturas"/>
        <filter val="BPO Financeiro / Despesas Administrativas"/>
        <filter val="Brindes e Presentes / Brindes e Presentes"/>
        <filter val="Cartão de Crédito / Cartão de Crédito"/>
        <filter val="Contabilidade / Despesas Administrativas"/>
        <filter val="DAS - SIMPLES NACIONAL / Vendas"/>
        <filter val="Desconsiderar / Desconsiderar"/>
        <filter val="Despesas Médicas / Despesas Médicas"/>
        <filter val="Energia / Despesas de Funcionamento"/>
        <filter val="Imoveis / Imoveis"/>
        <filter val="INSS / Funcionário"/>
        <filter val="Internet / Despesas de Funcionamento"/>
        <filter val="Licença ou Aluguel de Softwares / Despesas de Funcionamento"/>
        <filter val="Livraria / Livraria"/>
        <filter val="Móveis e Utensílios / Móveis e Utensílios"/>
        <filter val="Plano de Saúde / Plano de Saúde"/>
        <filter val="Pro-labore / Despesas Administrativas"/>
        <filter val="Salário / Funcionário"/>
        <filter val="Telefonia / Despesas de Funcionamento"/>
        <filter val="Vestuario / Vestuario"/>
        <filter val="Viagens / Viagens"/>
      </filters>
    </filterColumn>
  </autoFilter>
  <mergeCells count="1">
    <mergeCell ref="A27:C27"/>
  </mergeCells>
  <pageMargins left="0.78740157499999996" right="0.78740157499999996" top="0.984251969" bottom="0.984251969" header="0.4921259845" footer="0.49212598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C352-B447-43B8-A427-29353ECA0031}">
  <sheetPr filterMode="1"/>
  <dimension ref="A1:E22"/>
  <sheetViews>
    <sheetView showGridLines="0" tabSelected="1" workbookViewId="0">
      <selection activeCell="C7" sqref="C7"/>
    </sheetView>
  </sheetViews>
  <sheetFormatPr defaultRowHeight="14.5" x14ac:dyDescent="0.35"/>
  <cols>
    <col min="1" max="1" width="13.1796875" bestFit="1" customWidth="1"/>
    <col min="2" max="2" width="37.54296875" bestFit="1" customWidth="1"/>
    <col min="3" max="3" width="59.453125" bestFit="1" customWidth="1"/>
    <col min="4" max="4" width="12.6328125" style="4" bestFit="1" customWidth="1"/>
    <col min="5" max="5" width="148.453125" bestFit="1" customWidth="1"/>
  </cols>
  <sheetData>
    <row r="1" spans="1:5" s="2" customFormat="1" x14ac:dyDescent="0.35">
      <c r="A1" s="2" t="s">
        <v>0</v>
      </c>
      <c r="B1" s="2" t="s">
        <v>3</v>
      </c>
      <c r="C1" s="2" t="s">
        <v>2</v>
      </c>
      <c r="D1" s="3" t="s">
        <v>1</v>
      </c>
      <c r="E1" s="2" t="s">
        <v>4</v>
      </c>
    </row>
    <row r="2" spans="1:5" hidden="1" x14ac:dyDescent="0.35">
      <c r="A2" s="1" t="s">
        <v>5</v>
      </c>
      <c r="B2" t="s">
        <v>8</v>
      </c>
      <c r="C2" t="s">
        <v>7</v>
      </c>
      <c r="D2" s="4">
        <v>4194</v>
      </c>
      <c r="E2" s="1" t="s">
        <v>9</v>
      </c>
    </row>
    <row r="3" spans="1:5" x14ac:dyDescent="0.35">
      <c r="A3" s="1" t="s">
        <v>5</v>
      </c>
      <c r="B3" t="s">
        <v>11</v>
      </c>
      <c r="C3" t="s">
        <v>10</v>
      </c>
      <c r="D3" s="4">
        <v>139.96</v>
      </c>
      <c r="E3" s="1" t="s">
        <v>12</v>
      </c>
    </row>
    <row r="4" spans="1:5" x14ac:dyDescent="0.35">
      <c r="A4" s="1" t="s">
        <v>13</v>
      </c>
      <c r="B4" t="s">
        <v>18</v>
      </c>
      <c r="C4" t="s">
        <v>17</v>
      </c>
      <c r="D4" s="4">
        <v>1351.02</v>
      </c>
      <c r="E4" s="1" t="s">
        <v>19</v>
      </c>
    </row>
    <row r="5" spans="1:5" x14ac:dyDescent="0.35">
      <c r="A5" s="1" t="s">
        <v>24</v>
      </c>
      <c r="B5" t="s">
        <v>30</v>
      </c>
      <c r="C5" t="s">
        <v>29</v>
      </c>
      <c r="D5" s="4">
        <v>1748.1</v>
      </c>
      <c r="E5" s="1" t="s">
        <v>31</v>
      </c>
    </row>
    <row r="6" spans="1:5" hidden="1" x14ac:dyDescent="0.35">
      <c r="A6" s="1" t="s">
        <v>24</v>
      </c>
      <c r="B6" t="s">
        <v>34</v>
      </c>
      <c r="C6" t="s">
        <v>7</v>
      </c>
      <c r="D6" s="4">
        <v>4336</v>
      </c>
      <c r="E6" s="1" t="s">
        <v>35</v>
      </c>
    </row>
    <row r="7" spans="1:5" x14ac:dyDescent="0.35">
      <c r="A7" s="1" t="s">
        <v>24</v>
      </c>
      <c r="B7" t="s">
        <v>53</v>
      </c>
      <c r="C7" t="s">
        <v>43</v>
      </c>
      <c r="D7" s="4">
        <v>4200</v>
      </c>
      <c r="E7" s="1" t="s">
        <v>54</v>
      </c>
    </row>
    <row r="8" spans="1:5" hidden="1" x14ac:dyDescent="0.35">
      <c r="A8" s="1" t="s">
        <v>56</v>
      </c>
      <c r="B8" t="s">
        <v>60</v>
      </c>
      <c r="C8" t="s">
        <v>7</v>
      </c>
      <c r="D8" s="4">
        <v>15600</v>
      </c>
      <c r="E8" s="1" t="s">
        <v>61</v>
      </c>
    </row>
    <row r="9" spans="1:5" x14ac:dyDescent="0.35">
      <c r="A9" s="1" t="s">
        <v>62</v>
      </c>
      <c r="B9" t="s">
        <v>63</v>
      </c>
      <c r="C9" t="s">
        <v>29</v>
      </c>
      <c r="D9" s="4">
        <v>1927.76</v>
      </c>
      <c r="E9" s="1" t="s">
        <v>64</v>
      </c>
    </row>
    <row r="10" spans="1:5" hidden="1" x14ac:dyDescent="0.35">
      <c r="A10" s="1" t="s">
        <v>65</v>
      </c>
      <c r="B10" t="s">
        <v>66</v>
      </c>
      <c r="C10" t="s">
        <v>7</v>
      </c>
      <c r="D10" s="4">
        <v>3420</v>
      </c>
      <c r="E10" s="1" t="s">
        <v>67</v>
      </c>
    </row>
    <row r="11" spans="1:5" hidden="1" x14ac:dyDescent="0.35">
      <c r="A11" s="1" t="s">
        <v>65</v>
      </c>
      <c r="B11" t="s">
        <v>68</v>
      </c>
      <c r="C11" t="s">
        <v>7</v>
      </c>
      <c r="D11" s="4">
        <v>2430</v>
      </c>
      <c r="E11" s="1" t="s">
        <v>69</v>
      </c>
    </row>
    <row r="12" spans="1:5" x14ac:dyDescent="0.35">
      <c r="A12" s="1" t="s">
        <v>65</v>
      </c>
      <c r="B12" t="s">
        <v>71</v>
      </c>
      <c r="C12" t="s">
        <v>70</v>
      </c>
      <c r="D12" s="4">
        <v>395.46</v>
      </c>
      <c r="E12" s="1" t="s">
        <v>72</v>
      </c>
    </row>
    <row r="13" spans="1:5" hidden="1" x14ac:dyDescent="0.35">
      <c r="A13" s="1" t="s">
        <v>73</v>
      </c>
      <c r="B13" t="s">
        <v>74</v>
      </c>
      <c r="C13" t="s">
        <v>7</v>
      </c>
      <c r="D13" s="4">
        <v>16680</v>
      </c>
      <c r="E13" s="1" t="s">
        <v>75</v>
      </c>
    </row>
    <row r="14" spans="1:5" hidden="1" x14ac:dyDescent="0.35">
      <c r="A14" s="1" t="s">
        <v>76</v>
      </c>
      <c r="B14" t="s">
        <v>80</v>
      </c>
      <c r="C14" t="s">
        <v>7</v>
      </c>
      <c r="D14" s="4">
        <v>3252</v>
      </c>
      <c r="E14" s="1" t="s">
        <v>81</v>
      </c>
    </row>
    <row r="15" spans="1:5" hidden="1" x14ac:dyDescent="0.35">
      <c r="A15" s="1" t="s">
        <v>85</v>
      </c>
      <c r="B15" t="s">
        <v>86</v>
      </c>
      <c r="C15" t="s">
        <v>7</v>
      </c>
      <c r="D15" s="4">
        <v>1620</v>
      </c>
      <c r="E15" s="1" t="s">
        <v>87</v>
      </c>
    </row>
    <row r="16" spans="1:5" x14ac:dyDescent="0.35">
      <c r="A16" s="1" t="s">
        <v>88</v>
      </c>
      <c r="B16" t="s">
        <v>92</v>
      </c>
      <c r="C16" t="s">
        <v>29</v>
      </c>
      <c r="D16" s="4">
        <v>5000</v>
      </c>
      <c r="E16" s="1" t="s">
        <v>93</v>
      </c>
    </row>
    <row r="17" spans="1:5" x14ac:dyDescent="0.35">
      <c r="A17" s="1" t="s">
        <v>88</v>
      </c>
      <c r="B17" t="s">
        <v>92</v>
      </c>
      <c r="C17" t="s">
        <v>29</v>
      </c>
      <c r="D17" s="4">
        <v>9008.57</v>
      </c>
      <c r="E17" s="1" t="s">
        <v>113</v>
      </c>
    </row>
    <row r="18" spans="1:5" hidden="1" x14ac:dyDescent="0.35">
      <c r="A18" s="1" t="s">
        <v>116</v>
      </c>
      <c r="B18" t="s">
        <v>117</v>
      </c>
      <c r="C18" t="s">
        <v>7</v>
      </c>
      <c r="D18" s="4">
        <v>3400</v>
      </c>
      <c r="E18" s="1" t="s">
        <v>118</v>
      </c>
    </row>
    <row r="19" spans="1:5" x14ac:dyDescent="0.35">
      <c r="A19" s="1" t="s">
        <v>116</v>
      </c>
      <c r="B19" t="s">
        <v>131</v>
      </c>
      <c r="C19" t="s">
        <v>14</v>
      </c>
      <c r="D19" s="4">
        <v>192.78</v>
      </c>
      <c r="E19" s="1" t="s">
        <v>132</v>
      </c>
    </row>
    <row r="20" spans="1:5" hidden="1" x14ac:dyDescent="0.35">
      <c r="A20" s="1" t="s">
        <v>133</v>
      </c>
      <c r="B20" t="s">
        <v>80</v>
      </c>
      <c r="C20" t="s">
        <v>7</v>
      </c>
      <c r="D20" s="4">
        <v>2168</v>
      </c>
      <c r="E20" s="1" t="s">
        <v>134</v>
      </c>
    </row>
    <row r="21" spans="1:5" x14ac:dyDescent="0.35">
      <c r="A21" s="1" t="s">
        <v>135</v>
      </c>
      <c r="B21" t="s">
        <v>137</v>
      </c>
      <c r="C21" t="s">
        <v>136</v>
      </c>
      <c r="D21" s="4">
        <v>179.66</v>
      </c>
      <c r="E21" s="1" t="s">
        <v>138</v>
      </c>
    </row>
    <row r="22" spans="1:5" x14ac:dyDescent="0.35">
      <c r="A22" s="13" t="s">
        <v>139</v>
      </c>
      <c r="B22" s="13"/>
      <c r="C22" s="13"/>
      <c r="D22" s="3">
        <f>SUBTOTAL(9,D3:D21)</f>
        <v>24143.309999999998</v>
      </c>
    </row>
  </sheetData>
  <autoFilter ref="A1:E21" xr:uid="{A72A8084-5742-4D69-9964-4DE779634D3D}">
    <filterColumn colId="2">
      <filters>
        <filter val="A identificar / A identificar"/>
        <filter val="Alimentação / Alimentação"/>
        <filter val="Aluguel de Carro / Aluguel de Carro"/>
        <filter val="Aluguel de imóveis / Despesas de Funcionamento"/>
        <filter val="Assinaturas / Assinaturas"/>
        <filter val="BPO Financeiro / Despesas Administrativas"/>
        <filter val="Brindes e Presentes / Brindes e Presentes"/>
        <filter val="Cartão de Crédito / Cartão de Crédito"/>
        <filter val="Contabilidade / Despesas Administrativas"/>
        <filter val="DAS - SIMPLES NACIONAL / Vendas"/>
        <filter val="Desconsiderar / Desconsiderar"/>
        <filter val="Despesas Médicas / Despesas Médicas"/>
        <filter val="Energia / Despesas de Funcionamento"/>
        <filter val="Imoveis / Imoveis"/>
        <filter val="INSS / Funcionário"/>
        <filter val="Internet / Despesas de Funcionamento"/>
        <filter val="Licença ou Aluguel de Softwares / Despesas de Funcionamento"/>
        <filter val="Livraria / Livraria"/>
        <filter val="Móveis e Utensílios / Móveis e Utensílios"/>
        <filter val="Plano de Saúde / Plano de Saúde"/>
        <filter val="Pro-labore / Despesas Administrativas"/>
        <filter val="Salário / Funcionário"/>
        <filter val="Telefonia / Despesas de Funcionamento"/>
        <filter val="Vestuario / Vestuario"/>
        <filter val="Viagens / Viagens"/>
      </filters>
    </filterColumn>
  </autoFilter>
  <mergeCells count="1">
    <mergeCell ref="A22:C22"/>
  </mergeCells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RECEITAS</vt:lpstr>
      <vt:lpstr>DESPESAS PJ</vt:lpstr>
      <vt:lpstr>DESPESAS 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Antúrio business</dc:creator>
  <cp:lastModifiedBy>Nickolle Rocha</cp:lastModifiedBy>
  <cp:lastPrinted>2025-10-10T17:28:48Z</cp:lastPrinted>
  <dcterms:created xsi:type="dcterms:W3CDTF">2025-10-10T17:28:25Z</dcterms:created>
  <dcterms:modified xsi:type="dcterms:W3CDTF">2025-10-10T17:28:53Z</dcterms:modified>
</cp:coreProperties>
</file>